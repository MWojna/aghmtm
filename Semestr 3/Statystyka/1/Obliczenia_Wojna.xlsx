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AGH MTM\Semestr 3\Statystyka\"/>
    </mc:Choice>
  </mc:AlternateContent>
  <xr:revisionPtr revIDLastSave="0" documentId="13_ncr:1_{24FE8D9C-D83F-434C-88C6-0EC70055173B}" xr6:coauthVersionLast="47" xr6:coauthVersionMax="47" xr10:uidLastSave="{00000000-0000-0000-0000-000000000000}"/>
  <bookViews>
    <workbookView xWindow="28702" yWindow="6195" windowWidth="21795" windowHeight="12975" xr2:uid="{D6FFBF3E-9A95-40DE-9673-504AF4E15491}"/>
  </bookViews>
  <sheets>
    <sheet name="Arkusz1" sheetId="1" r:id="rId1"/>
  </sheets>
  <definedNames>
    <definedName name="_xlchart.v1.0" hidden="1">Arkusz1!$C$2:$C$51</definedName>
    <definedName name="_xlchart.v1.1" hidden="1">Arkusz1!$M$22</definedName>
    <definedName name="_xlchart.v1.2" hidden="1">Arkusz1!$C$2:$C$51</definedName>
    <definedName name="_xlchart.v1.3" hidden="1">Arkusz1!$K$2</definedName>
    <definedName name="_xlchart.v1.4" hidden="1">Arkusz1!$M$22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2" i="1" l="1"/>
  <c r="N51" i="1"/>
  <c r="N48" i="1"/>
  <c r="N47" i="1"/>
  <c r="Q44" i="1"/>
  <c r="Q43" i="1"/>
  <c r="P44" i="1"/>
  <c r="O44" i="1"/>
  <c r="N44" i="1"/>
  <c r="P43" i="1"/>
  <c r="O43" i="1"/>
  <c r="N43" i="1"/>
  <c r="I14" i="1"/>
  <c r="I27" i="1"/>
  <c r="I5" i="1"/>
  <c r="I28" i="1"/>
  <c r="I25" i="1"/>
  <c r="I24" i="1"/>
  <c r="I23" i="1"/>
  <c r="I22" i="1"/>
  <c r="I21" i="1"/>
  <c r="I6" i="1"/>
  <c r="I3" i="1"/>
  <c r="I7" i="1" s="1"/>
  <c r="I4" i="1"/>
  <c r="I9" i="1"/>
  <c r="I8" i="1"/>
  <c r="I13" i="1"/>
  <c r="I12" i="1"/>
  <c r="I11" i="1"/>
  <c r="I10" i="1"/>
  <c r="O39" i="1"/>
  <c r="O38" i="1"/>
  <c r="O37" i="1"/>
  <c r="N39" i="1"/>
  <c r="N38" i="1"/>
  <c r="O36" i="1"/>
  <c r="N36" i="1"/>
  <c r="N37" i="1"/>
  <c r="L21" i="1" l="1"/>
  <c r="N40" i="1"/>
  <c r="O40" i="1"/>
  <c r="P38" i="1"/>
  <c r="P39" i="1"/>
  <c r="H51" i="1" s="1"/>
  <c r="P37" i="1"/>
  <c r="H45" i="1" s="1"/>
  <c r="P36" i="1"/>
  <c r="H42" i="1" s="1"/>
  <c r="H39" i="1" l="1"/>
  <c r="H36" i="1"/>
  <c r="P40" i="1"/>
  <c r="H48" i="1"/>
</calcChain>
</file>

<file path=xl/sharedStrings.xml><?xml version="1.0" encoding="utf-8"?>
<sst xmlns="http://schemas.openxmlformats.org/spreadsheetml/2006/main" count="203" uniqueCount="44">
  <si>
    <t>B</t>
  </si>
  <si>
    <t>Tak</t>
  </si>
  <si>
    <t>A</t>
  </si>
  <si>
    <t>Nie</t>
  </si>
  <si>
    <t>Skuteczność materiału A</t>
  </si>
  <si>
    <t>Skuteczność</t>
  </si>
  <si>
    <t>A Trzonowe</t>
  </si>
  <si>
    <t>A Przednie</t>
  </si>
  <si>
    <t>B Trzonowe</t>
  </si>
  <si>
    <t>B Przednie</t>
  </si>
  <si>
    <t>suma</t>
  </si>
  <si>
    <t>ID Pacjenta</t>
  </si>
  <si>
    <t>T</t>
  </si>
  <si>
    <t>P</t>
  </si>
  <si>
    <t>Lokalizacja Wszczepu</t>
  </si>
  <si>
    <t>Przetrwanie 2 Lata</t>
  </si>
  <si>
    <t>Ocena Estetyki (1-5)</t>
  </si>
  <si>
    <t>Material Protezy</t>
  </si>
  <si>
    <t>Skuteczność materiału B</t>
  </si>
  <si>
    <t>Skuteczność materiału A w zębach trzonowych</t>
  </si>
  <si>
    <t>Skuteczność materiału A w zębach przednich</t>
  </si>
  <si>
    <t>Skuteczność materiału B w zębach trzonowych</t>
  </si>
  <si>
    <t>Skuteczność materiału B w zębach przednich</t>
  </si>
  <si>
    <t>średnia</t>
  </si>
  <si>
    <t>mediana</t>
  </si>
  <si>
    <t>dominanta</t>
  </si>
  <si>
    <t>odchylenie standardowe</t>
  </si>
  <si>
    <t>współczynnik zmienności</t>
  </si>
  <si>
    <t>minimum</t>
  </si>
  <si>
    <t>maximum</t>
  </si>
  <si>
    <t>Q1</t>
  </si>
  <si>
    <t>Q2</t>
  </si>
  <si>
    <t>Q3</t>
  </si>
  <si>
    <t>Q4</t>
  </si>
  <si>
    <t>IQR</t>
  </si>
  <si>
    <t>Ocena estetyki</t>
  </si>
  <si>
    <t>ilość ocen</t>
  </si>
  <si>
    <t>Siła złamania - stopnie</t>
  </si>
  <si>
    <t>wartość</t>
  </si>
  <si>
    <t>Materiał A</t>
  </si>
  <si>
    <t>Materiał B</t>
  </si>
  <si>
    <t>Sila Złamania [N]</t>
  </si>
  <si>
    <t>Zęby przednie</t>
  </si>
  <si>
    <t>Trzonowce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</si>
</sst>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i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Border="1" applyAlignment="1"/>
    <xf numFmtId="0" fontId="3" fillId="0" borderId="1" xfId="0" applyFont="1" applyBorder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2" fontId="2" fillId="0" borderId="0" xfId="0" applyNumberFormat="1" applyFont="1"/>
    <xf numFmtId="9" fontId="2" fillId="0" borderId="0" xfId="1" applyFont="1"/>
    <xf numFmtId="0" fontId="3" fillId="0" borderId="0" xfId="0" applyFont="1" applyBorder="1" applyAlignment="1">
      <alignment vertical="center" wrapText="1"/>
    </xf>
    <xf numFmtId="0" fontId="2" fillId="0" borderId="0" xfId="0" applyFont="1" applyBorder="1"/>
    <xf numFmtId="0" fontId="2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9" fontId="2" fillId="0" borderId="0" xfId="1" applyFont="1" applyBorder="1" applyAlignment="1">
      <alignment vertical="center" wrapText="1"/>
    </xf>
  </cellXfs>
  <cellStyles count="2">
    <cellStyle name="Normalny" xfId="0" builtinId="0"/>
    <cellStyle name="Procentowy" xfId="1" builtinId="5"/>
  </cellStyles>
  <dxfs count="8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ocena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Arkusz1!$I$21:$I$25</c:f>
              <c:numCache>
                <c:formatCode>General</c:formatCode>
                <c:ptCount val="5"/>
                <c:pt idx="0">
                  <c:v>2</c:v>
                </c:pt>
                <c:pt idx="1">
                  <c:v>6</c:v>
                </c:pt>
                <c:pt idx="2">
                  <c:v>13</c:v>
                </c:pt>
                <c:pt idx="3">
                  <c:v>17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0-487C-9245-E415EF713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9654287"/>
        <c:axId val="809666287"/>
      </c:barChart>
      <c:catAx>
        <c:axId val="80965428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9666287"/>
        <c:crosses val="autoZero"/>
        <c:auto val="1"/>
        <c:lblAlgn val="ctr"/>
        <c:lblOffset val="100"/>
        <c:noMultiLvlLbl val="0"/>
      </c:catAx>
      <c:valAx>
        <c:axId val="80966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965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Histogram Siły złamania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 Siły złamania</a:t>
          </a:r>
        </a:p>
      </cx:txPr>
    </cx:title>
    <cx:plotArea>
      <cx:plotAreaRegion>
        <cx:series layoutId="clusteredColumn" uniqueId="{A9422C56-F450-4E7E-B57B-26D1680027D1}">
          <cx:dataId val="0"/>
          <cx:layoutPr>
            <cx:binning intervalClosed="r">
              <cx:binCount val="1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Wykres pudełkowy siły złamania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Wykres pudełkowy siły złamania</a:t>
          </a:r>
        </a:p>
      </cx:txPr>
    </cx:title>
    <cx:plotArea>
      <cx:plotAreaRegion>
        <cx:series layoutId="boxWhisker" uniqueId="{C881A9A1-B71F-4289-986A-00250E11A3D5}"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5</xdr:row>
      <xdr:rowOff>3175</xdr:rowOff>
    </xdr:from>
    <xdr:to>
      <xdr:col>18</xdr:col>
      <xdr:colOff>22225</xdr:colOff>
      <xdr:row>19</xdr:row>
      <xdr:rowOff>79375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ykres 1">
              <a:extLst>
                <a:ext uri="{FF2B5EF4-FFF2-40B4-BE49-F238E27FC236}">
                  <a16:creationId xmlns:a16="http://schemas.microsoft.com/office/drawing/2014/main" id="{6FD69AA8-14BB-B6B5-2045-5AA1B9AF66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50725" y="9556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18</xdr:col>
      <xdr:colOff>276225</xdr:colOff>
      <xdr:row>5</xdr:row>
      <xdr:rowOff>9525</xdr:rowOff>
    </xdr:from>
    <xdr:to>
      <xdr:col>25</xdr:col>
      <xdr:colOff>581025</xdr:colOff>
      <xdr:row>19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Wykres 2">
              <a:extLst>
                <a:ext uri="{FF2B5EF4-FFF2-40B4-BE49-F238E27FC236}">
                  <a16:creationId xmlns:a16="http://schemas.microsoft.com/office/drawing/2014/main" id="{EA1D1D00-7D40-CA03-AC1A-3B776BD52E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76725" y="9620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12</xdr:col>
      <xdr:colOff>676275</xdr:colOff>
      <xdr:row>19</xdr:row>
      <xdr:rowOff>104775</xdr:rowOff>
    </xdr:from>
    <xdr:to>
      <xdr:col>20</xdr:col>
      <xdr:colOff>288925</xdr:colOff>
      <xdr:row>33</xdr:row>
      <xdr:rowOff>180975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A1A66FB1-A88A-E1BA-6AC7-575F99C55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131396-E716-4CFA-8F98-72690E471549}" name="Tabela1" displayName="Tabela1" ref="A1:F51" totalsRowShown="0" headerRowDxfId="1" dataDxfId="0">
  <autoFilter ref="A1:F51" xr:uid="{7C131396-E716-4CFA-8F98-72690E471549}"/>
  <sortState xmlns:xlrd2="http://schemas.microsoft.com/office/spreadsheetml/2017/richdata2" ref="A2:F51">
    <sortCondition descending="1" ref="F1:F51"/>
  </sortState>
  <tableColumns count="6">
    <tableColumn id="1" xr3:uid="{2E25D42B-3224-4A3E-9B10-C0666A4E447E}" name="ID Pacjenta" dataDxfId="7"/>
    <tableColumn id="2" xr3:uid="{FE51DAB4-5047-46DD-A0A8-654BD458219A}" name="Material Protezy" dataDxfId="6"/>
    <tableColumn id="3" xr3:uid="{CFC70926-AAA0-4FD2-924D-65FC265F482B}" name="Sila Złamania [N]" dataDxfId="5"/>
    <tableColumn id="4" xr3:uid="{A045DE6B-D739-4ECA-89EE-613B101E4F99}" name="Ocena Estetyki (1-5)" dataDxfId="4"/>
    <tableColumn id="5" xr3:uid="{2EFE0923-C972-46E0-94D9-E8EDA7804812}" name="Lokalizacja Wszczepu" dataDxfId="3"/>
    <tableColumn id="6" xr3:uid="{25EC0493-785A-4B78-9DAD-97379BDC2966}" name="Przetrwanie 2 Lata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ADE2D-5080-4DAB-A360-E4A17ABB70F7}">
  <dimension ref="A1:X98"/>
  <sheetViews>
    <sheetView tabSelected="1" topLeftCell="F31" zoomScale="115" zoomScaleNormal="115" workbookViewId="0">
      <selection activeCell="K38" sqref="K38"/>
    </sheetView>
  </sheetViews>
  <sheetFormatPr defaultRowHeight="14.5" x14ac:dyDescent="0.35"/>
  <cols>
    <col min="1" max="1" width="14.7265625" style="3" customWidth="1"/>
    <col min="2" max="2" width="20.26953125" style="3" customWidth="1"/>
    <col min="3" max="3" width="19.7265625" style="3" customWidth="1"/>
    <col min="4" max="4" width="22.7265625" style="3" customWidth="1"/>
    <col min="5" max="5" width="25.90625" style="3" customWidth="1"/>
    <col min="6" max="6" width="22.1796875" style="3" customWidth="1"/>
    <col min="7" max="7" width="8.7265625" style="3"/>
    <col min="8" max="8" width="21.08984375" style="3" customWidth="1"/>
    <col min="9" max="9" width="10.81640625" style="3" bestFit="1" customWidth="1"/>
    <col min="10" max="11" width="8.7265625" style="3"/>
    <col min="12" max="12" width="8.81640625" style="3" bestFit="1" customWidth="1"/>
    <col min="13" max="13" width="12" style="3" bestFit="1" customWidth="1"/>
    <col min="14" max="14" width="11.1796875" style="3" bestFit="1" customWidth="1"/>
    <col min="15" max="16" width="8.81640625" style="3" bestFit="1" customWidth="1"/>
    <col min="17" max="17" width="10.90625" style="3" bestFit="1" customWidth="1"/>
    <col min="18" max="16384" width="8.7265625" style="3"/>
  </cols>
  <sheetData>
    <row r="1" spans="1:9" ht="15" thickBot="1" x14ac:dyDescent="0.4">
      <c r="A1" s="2" t="s">
        <v>11</v>
      </c>
      <c r="B1" s="2" t="s">
        <v>17</v>
      </c>
      <c r="C1" s="2" t="s">
        <v>41</v>
      </c>
      <c r="D1" s="2" t="s">
        <v>16</v>
      </c>
      <c r="E1" s="2" t="s">
        <v>14</v>
      </c>
      <c r="F1" s="2" t="s">
        <v>15</v>
      </c>
    </row>
    <row r="2" spans="1:9" ht="15" thickBot="1" x14ac:dyDescent="0.4">
      <c r="A2" s="4">
        <v>1</v>
      </c>
      <c r="B2" s="4" t="s">
        <v>2</v>
      </c>
      <c r="C2" s="4">
        <v>800</v>
      </c>
      <c r="D2" s="4">
        <v>5</v>
      </c>
      <c r="E2" s="4" t="s">
        <v>13</v>
      </c>
      <c r="F2" s="4" t="s">
        <v>1</v>
      </c>
      <c r="H2" s="5" t="s">
        <v>37</v>
      </c>
      <c r="I2" s="5" t="s">
        <v>38</v>
      </c>
    </row>
    <row r="3" spans="1:9" ht="15" thickBot="1" x14ac:dyDescent="0.4">
      <c r="A3" s="4">
        <v>2</v>
      </c>
      <c r="B3" s="4" t="s">
        <v>2</v>
      </c>
      <c r="C3" s="4">
        <v>780</v>
      </c>
      <c r="D3" s="4">
        <v>4</v>
      </c>
      <c r="E3" s="4" t="s">
        <v>13</v>
      </c>
      <c r="F3" s="4" t="s">
        <v>1</v>
      </c>
      <c r="H3" s="6" t="s">
        <v>23</v>
      </c>
      <c r="I3" s="7">
        <f>AVERAGE(Tabela1[Sila Złamania '[N']])</f>
        <v>686.8</v>
      </c>
    </row>
    <row r="4" spans="1:9" ht="15" thickBot="1" x14ac:dyDescent="0.4">
      <c r="A4" s="4">
        <v>3</v>
      </c>
      <c r="B4" s="4" t="s">
        <v>2</v>
      </c>
      <c r="C4" s="4">
        <v>820</v>
      </c>
      <c r="D4" s="4">
        <v>5</v>
      </c>
      <c r="E4" s="4" t="s">
        <v>13</v>
      </c>
      <c r="F4" s="4" t="s">
        <v>1</v>
      </c>
      <c r="H4" s="8" t="s">
        <v>24</v>
      </c>
      <c r="I4" s="9">
        <f>MEDIAN(Tabela1[Sila Złamania '[N']])</f>
        <v>660</v>
      </c>
    </row>
    <row r="5" spans="1:9" ht="15" thickBot="1" x14ac:dyDescent="0.4">
      <c r="A5" s="4">
        <v>4</v>
      </c>
      <c r="B5" s="4" t="s">
        <v>2</v>
      </c>
      <c r="C5" s="4">
        <v>790</v>
      </c>
      <c r="D5" s="4">
        <v>4</v>
      </c>
      <c r="E5" s="4" t="s">
        <v>13</v>
      </c>
      <c r="F5" s="4" t="s">
        <v>1</v>
      </c>
      <c r="H5" s="8" t="s">
        <v>25</v>
      </c>
      <c r="I5" s="9">
        <f>_xlfn.MODE.SNGL(Tabela1[Sila Złamania '[N']])</f>
        <v>650</v>
      </c>
    </row>
    <row r="6" spans="1:9" ht="15" thickBot="1" x14ac:dyDescent="0.4">
      <c r="A6" s="4">
        <v>5</v>
      </c>
      <c r="B6" s="4" t="s">
        <v>2</v>
      </c>
      <c r="C6" s="4">
        <v>760</v>
      </c>
      <c r="D6" s="4">
        <v>3</v>
      </c>
      <c r="E6" s="4" t="s">
        <v>13</v>
      </c>
      <c r="F6" s="4" t="s">
        <v>3</v>
      </c>
      <c r="H6" s="8" t="s">
        <v>26</v>
      </c>
      <c r="I6" s="9">
        <f>_xlfn.STDEV.S(Tabela1[Sila Złamania '[N']])</f>
        <v>69.910730249952564</v>
      </c>
    </row>
    <row r="7" spans="1:9" ht="15" thickBot="1" x14ac:dyDescent="0.4">
      <c r="A7" s="4">
        <v>6</v>
      </c>
      <c r="B7" s="4" t="s">
        <v>2</v>
      </c>
      <c r="C7" s="4">
        <v>750</v>
      </c>
      <c r="D7" s="4">
        <v>4</v>
      </c>
      <c r="E7" s="4" t="s">
        <v>12</v>
      </c>
      <c r="F7" s="4" t="s">
        <v>1</v>
      </c>
      <c r="H7" s="8" t="s">
        <v>27</v>
      </c>
      <c r="I7" s="9">
        <f>I3/I6*100</f>
        <v>982.39568882269828</v>
      </c>
    </row>
    <row r="8" spans="1:9" ht="15" thickBot="1" x14ac:dyDescent="0.4">
      <c r="A8" s="4">
        <v>7</v>
      </c>
      <c r="B8" s="4" t="s">
        <v>2</v>
      </c>
      <c r="C8" s="4">
        <v>740</v>
      </c>
      <c r="D8" s="4">
        <v>3</v>
      </c>
      <c r="E8" s="4" t="s">
        <v>12</v>
      </c>
      <c r="F8" s="4" t="s">
        <v>1</v>
      </c>
      <c r="H8" s="8" t="s">
        <v>28</v>
      </c>
      <c r="I8" s="9">
        <f>MIN(Tabela1[Sila Złamania '[N']])</f>
        <v>580</v>
      </c>
    </row>
    <row r="9" spans="1:9" ht="15" thickBot="1" x14ac:dyDescent="0.4">
      <c r="A9" s="4">
        <v>8</v>
      </c>
      <c r="B9" s="4" t="s">
        <v>2</v>
      </c>
      <c r="C9" s="4">
        <v>730</v>
      </c>
      <c r="D9" s="4">
        <v>4</v>
      </c>
      <c r="E9" s="4" t="s">
        <v>12</v>
      </c>
      <c r="F9" s="4" t="s">
        <v>1</v>
      </c>
      <c r="H9" s="8" t="s">
        <v>29</v>
      </c>
      <c r="I9" s="9">
        <f>MAX(Tabela1[Sila Złamania '[N']])</f>
        <v>820</v>
      </c>
    </row>
    <row r="10" spans="1:9" ht="15" thickBot="1" x14ac:dyDescent="0.4">
      <c r="A10" s="4">
        <v>9</v>
      </c>
      <c r="B10" s="4" t="s">
        <v>2</v>
      </c>
      <c r="C10" s="4">
        <v>770</v>
      </c>
      <c r="D10" s="4">
        <v>5</v>
      </c>
      <c r="E10" s="4" t="s">
        <v>12</v>
      </c>
      <c r="F10" s="4" t="s">
        <v>1</v>
      </c>
      <c r="H10" s="8" t="s">
        <v>30</v>
      </c>
      <c r="I10" s="9">
        <f>_xlfn.QUARTILE.INC(Tabela1[Sila Złamania '[N']],1)</f>
        <v>630</v>
      </c>
    </row>
    <row r="11" spans="1:9" ht="15" thickBot="1" x14ac:dyDescent="0.4">
      <c r="A11" s="4">
        <v>10</v>
      </c>
      <c r="B11" s="4" t="s">
        <v>2</v>
      </c>
      <c r="C11" s="4">
        <v>760</v>
      </c>
      <c r="D11" s="4">
        <v>4</v>
      </c>
      <c r="E11" s="4" t="s">
        <v>12</v>
      </c>
      <c r="F11" s="4" t="s">
        <v>1</v>
      </c>
      <c r="H11" s="8" t="s">
        <v>31</v>
      </c>
      <c r="I11" s="9">
        <f>_xlfn.QUARTILE.INC(Tabela1[Sila Złamania '[N']],2)</f>
        <v>660</v>
      </c>
    </row>
    <row r="12" spans="1:9" ht="15" thickBot="1" x14ac:dyDescent="0.4">
      <c r="A12" s="4">
        <v>11</v>
      </c>
      <c r="B12" s="4" t="s">
        <v>2</v>
      </c>
      <c r="C12" s="4">
        <v>810</v>
      </c>
      <c r="D12" s="4">
        <v>5</v>
      </c>
      <c r="E12" s="4" t="s">
        <v>12</v>
      </c>
      <c r="F12" s="4" t="s">
        <v>1</v>
      </c>
      <c r="H12" s="8" t="s">
        <v>32</v>
      </c>
      <c r="I12" s="9">
        <f>_xlfn.QUARTILE.INC(Tabela1[Sila Złamania '[N']],3)</f>
        <v>750</v>
      </c>
    </row>
    <row r="13" spans="1:9" ht="15" thickBot="1" x14ac:dyDescent="0.4">
      <c r="A13" s="4">
        <v>12</v>
      </c>
      <c r="B13" s="4" t="s">
        <v>2</v>
      </c>
      <c r="C13" s="4">
        <v>720</v>
      </c>
      <c r="D13" s="4">
        <v>3</v>
      </c>
      <c r="E13" s="4" t="s">
        <v>12</v>
      </c>
      <c r="F13" s="4" t="s">
        <v>3</v>
      </c>
      <c r="H13" s="8" t="s">
        <v>33</v>
      </c>
      <c r="I13" s="9">
        <f>_xlfn.QUARTILE.INC(Tabela1[Sila Złamania '[N']],4)</f>
        <v>820</v>
      </c>
    </row>
    <row r="14" spans="1:9" ht="15" thickBot="1" x14ac:dyDescent="0.4">
      <c r="A14" s="4">
        <v>13</v>
      </c>
      <c r="B14" s="4" t="s">
        <v>2</v>
      </c>
      <c r="C14" s="4">
        <v>750</v>
      </c>
      <c r="D14" s="4">
        <v>4</v>
      </c>
      <c r="E14" s="4" t="s">
        <v>12</v>
      </c>
      <c r="F14" s="4" t="s">
        <v>3</v>
      </c>
      <c r="H14" s="10" t="s">
        <v>34</v>
      </c>
      <c r="I14" s="11">
        <f>I12-I10</f>
        <v>120</v>
      </c>
    </row>
    <row r="15" spans="1:9" ht="15" thickBot="1" x14ac:dyDescent="0.4">
      <c r="A15" s="4">
        <v>14</v>
      </c>
      <c r="B15" s="4" t="s">
        <v>2</v>
      </c>
      <c r="C15" s="4">
        <v>780</v>
      </c>
      <c r="D15" s="4">
        <v>3</v>
      </c>
      <c r="E15" s="4" t="s">
        <v>12</v>
      </c>
      <c r="F15" s="4" t="s">
        <v>3</v>
      </c>
    </row>
    <row r="16" spans="1:9" ht="15" thickBot="1" x14ac:dyDescent="0.4">
      <c r="A16" s="4">
        <v>15</v>
      </c>
      <c r="B16" s="4" t="s">
        <v>2</v>
      </c>
      <c r="C16" s="4">
        <v>740</v>
      </c>
      <c r="D16" s="4">
        <v>4</v>
      </c>
      <c r="E16" s="4" t="s">
        <v>12</v>
      </c>
      <c r="F16" s="4" t="s">
        <v>3</v>
      </c>
    </row>
    <row r="17" spans="1:12" ht="15" thickBot="1" x14ac:dyDescent="0.4">
      <c r="A17" s="4">
        <v>16</v>
      </c>
      <c r="B17" s="4" t="s">
        <v>2</v>
      </c>
      <c r="C17" s="4">
        <v>730</v>
      </c>
      <c r="D17" s="4">
        <v>2</v>
      </c>
      <c r="E17" s="4" t="s">
        <v>12</v>
      </c>
      <c r="F17" s="4" t="s">
        <v>3</v>
      </c>
    </row>
    <row r="18" spans="1:12" ht="15" thickBot="1" x14ac:dyDescent="0.4">
      <c r="A18" s="4">
        <v>17</v>
      </c>
      <c r="B18" s="4" t="s">
        <v>2</v>
      </c>
      <c r="C18" s="4">
        <v>760</v>
      </c>
      <c r="D18" s="4">
        <v>3</v>
      </c>
      <c r="E18" s="4" t="s">
        <v>12</v>
      </c>
      <c r="F18" s="4" t="s">
        <v>3</v>
      </c>
    </row>
    <row r="19" spans="1:12" ht="15" thickBot="1" x14ac:dyDescent="0.4">
      <c r="A19" s="4">
        <v>18</v>
      </c>
      <c r="B19" s="4" t="s">
        <v>2</v>
      </c>
      <c r="C19" s="4">
        <v>770</v>
      </c>
      <c r="D19" s="4">
        <v>4</v>
      </c>
      <c r="E19" s="4" t="s">
        <v>12</v>
      </c>
      <c r="F19" s="4" t="s">
        <v>3</v>
      </c>
    </row>
    <row r="20" spans="1:12" ht="15" thickBot="1" x14ac:dyDescent="0.4">
      <c r="A20" s="4">
        <v>19</v>
      </c>
      <c r="B20" s="4" t="s">
        <v>2</v>
      </c>
      <c r="C20" s="4">
        <v>750</v>
      </c>
      <c r="D20" s="4">
        <v>3</v>
      </c>
      <c r="E20" s="4" t="s">
        <v>12</v>
      </c>
      <c r="F20" s="4" t="s">
        <v>3</v>
      </c>
      <c r="H20" s="3" t="s">
        <v>35</v>
      </c>
      <c r="I20" s="3" t="s">
        <v>36</v>
      </c>
    </row>
    <row r="21" spans="1:12" ht="15" thickBot="1" x14ac:dyDescent="0.4">
      <c r="A21" s="4">
        <v>20</v>
      </c>
      <c r="B21" s="4" t="s">
        <v>2</v>
      </c>
      <c r="C21" s="4">
        <v>790</v>
      </c>
      <c r="D21" s="4">
        <v>4</v>
      </c>
      <c r="E21" s="4" t="s">
        <v>12</v>
      </c>
      <c r="F21" s="4" t="s">
        <v>3</v>
      </c>
      <c r="H21" s="3">
        <v>1</v>
      </c>
      <c r="I21" s="3">
        <f>COUNTIF(Tabela1[Ocena Estetyki (1-5)],"1")</f>
        <v>2</v>
      </c>
      <c r="K21" s="3" t="s">
        <v>10</v>
      </c>
      <c r="L21" s="3">
        <f>SUM(I21:I25)</f>
        <v>50</v>
      </c>
    </row>
    <row r="22" spans="1:12" ht="15" thickBot="1" x14ac:dyDescent="0.4">
      <c r="A22" s="4">
        <v>21</v>
      </c>
      <c r="B22" s="4" t="s">
        <v>0</v>
      </c>
      <c r="C22" s="4">
        <v>650</v>
      </c>
      <c r="D22" s="4">
        <v>5</v>
      </c>
      <c r="E22" s="4" t="s">
        <v>13</v>
      </c>
      <c r="F22" s="4" t="s">
        <v>1</v>
      </c>
      <c r="H22" s="3">
        <v>2</v>
      </c>
      <c r="I22" s="3">
        <f>COUNTIF(Tabela1[Ocena Estetyki (1-5)],"2")</f>
        <v>6</v>
      </c>
    </row>
    <row r="23" spans="1:12" ht="15" thickBot="1" x14ac:dyDescent="0.4">
      <c r="A23" s="4">
        <v>22</v>
      </c>
      <c r="B23" s="4" t="s">
        <v>0</v>
      </c>
      <c r="C23" s="4">
        <v>660</v>
      </c>
      <c r="D23" s="4">
        <v>4</v>
      </c>
      <c r="E23" s="4" t="s">
        <v>13</v>
      </c>
      <c r="F23" s="4" t="s">
        <v>1</v>
      </c>
      <c r="H23" s="3">
        <v>3</v>
      </c>
      <c r="I23" s="3">
        <f>COUNTIF(Tabela1[Ocena Estetyki (1-5)],"3")</f>
        <v>13</v>
      </c>
    </row>
    <row r="24" spans="1:12" ht="15" thickBot="1" x14ac:dyDescent="0.4">
      <c r="A24" s="4">
        <v>23</v>
      </c>
      <c r="B24" s="4" t="s">
        <v>0</v>
      </c>
      <c r="C24" s="4">
        <v>640</v>
      </c>
      <c r="D24" s="4">
        <v>5</v>
      </c>
      <c r="E24" s="4" t="s">
        <v>13</v>
      </c>
      <c r="F24" s="4" t="s">
        <v>1</v>
      </c>
      <c r="H24" s="3">
        <v>4</v>
      </c>
      <c r="I24" s="3">
        <f>COUNTIF(Tabela1[Ocena Estetyki (1-5)],"4")</f>
        <v>17</v>
      </c>
    </row>
    <row r="25" spans="1:12" ht="15" thickBot="1" x14ac:dyDescent="0.4">
      <c r="A25" s="4">
        <v>24</v>
      </c>
      <c r="B25" s="4" t="s">
        <v>0</v>
      </c>
      <c r="C25" s="4">
        <v>650</v>
      </c>
      <c r="D25" s="4">
        <v>4</v>
      </c>
      <c r="E25" s="4" t="s">
        <v>13</v>
      </c>
      <c r="F25" s="4" t="s">
        <v>1</v>
      </c>
      <c r="H25" s="3">
        <v>5</v>
      </c>
      <c r="I25" s="3">
        <f>COUNTIF(Tabela1[Ocena Estetyki (1-5)],"5")</f>
        <v>12</v>
      </c>
    </row>
    <row r="26" spans="1:12" ht="15" thickBot="1" x14ac:dyDescent="0.4">
      <c r="A26" s="4">
        <v>25</v>
      </c>
      <c r="B26" s="4" t="s">
        <v>0</v>
      </c>
      <c r="C26" s="4">
        <v>670</v>
      </c>
      <c r="D26" s="4">
        <v>3</v>
      </c>
      <c r="E26" s="4" t="s">
        <v>13</v>
      </c>
      <c r="F26" s="4" t="s">
        <v>1</v>
      </c>
    </row>
    <row r="27" spans="1:12" ht="15" thickBot="1" x14ac:dyDescent="0.4">
      <c r="A27" s="4">
        <v>26</v>
      </c>
      <c r="B27" s="4" t="s">
        <v>0</v>
      </c>
      <c r="C27" s="4">
        <v>680</v>
      </c>
      <c r="D27" s="4">
        <v>5</v>
      </c>
      <c r="E27" s="4" t="s">
        <v>13</v>
      </c>
      <c r="F27" s="4" t="s">
        <v>1</v>
      </c>
      <c r="H27" s="3" t="s">
        <v>25</v>
      </c>
      <c r="I27" s="3">
        <f>_xlfn.MODE.SNGL(Tabela1[Ocena Estetyki (1-5)])</f>
        <v>4</v>
      </c>
    </row>
    <row r="28" spans="1:12" ht="15" thickBot="1" x14ac:dyDescent="0.4">
      <c r="A28" s="4">
        <v>27</v>
      </c>
      <c r="B28" s="4" t="s">
        <v>0</v>
      </c>
      <c r="C28" s="4">
        <v>650</v>
      </c>
      <c r="D28" s="4">
        <v>4</v>
      </c>
      <c r="E28" s="4" t="s">
        <v>13</v>
      </c>
      <c r="F28" s="4" t="s">
        <v>1</v>
      </c>
      <c r="H28" s="3" t="s">
        <v>24</v>
      </c>
      <c r="I28" s="3">
        <f>MEDIAN(Tabela1[Ocena Estetyki (1-5)])</f>
        <v>4</v>
      </c>
    </row>
    <row r="29" spans="1:12" ht="15" thickBot="1" x14ac:dyDescent="0.4">
      <c r="A29" s="4">
        <v>28</v>
      </c>
      <c r="B29" s="4" t="s">
        <v>0</v>
      </c>
      <c r="C29" s="4">
        <v>630</v>
      </c>
      <c r="D29" s="4">
        <v>5</v>
      </c>
      <c r="E29" s="4" t="s">
        <v>13</v>
      </c>
      <c r="F29" s="4" t="s">
        <v>1</v>
      </c>
    </row>
    <row r="30" spans="1:12" ht="15" thickBot="1" x14ac:dyDescent="0.4">
      <c r="A30" s="4">
        <v>29</v>
      </c>
      <c r="B30" s="4" t="s">
        <v>0</v>
      </c>
      <c r="C30" s="4">
        <v>620</v>
      </c>
      <c r="D30" s="4">
        <v>4</v>
      </c>
      <c r="E30" s="4" t="s">
        <v>13</v>
      </c>
      <c r="F30" s="4" t="s">
        <v>1</v>
      </c>
    </row>
    <row r="31" spans="1:12" ht="15" thickBot="1" x14ac:dyDescent="0.4">
      <c r="A31" s="4">
        <v>30</v>
      </c>
      <c r="B31" s="4" t="s">
        <v>0</v>
      </c>
      <c r="C31" s="4">
        <v>650</v>
      </c>
      <c r="D31" s="4">
        <v>3</v>
      </c>
      <c r="E31" s="4" t="s">
        <v>13</v>
      </c>
      <c r="F31" s="4" t="s">
        <v>1</v>
      </c>
    </row>
    <row r="32" spans="1:12" ht="15" thickBot="1" x14ac:dyDescent="0.4">
      <c r="A32" s="4">
        <v>31</v>
      </c>
      <c r="B32" s="4" t="s">
        <v>0</v>
      </c>
      <c r="C32" s="4">
        <v>660</v>
      </c>
      <c r="D32" s="4">
        <v>5</v>
      </c>
      <c r="E32" s="4" t="s">
        <v>13</v>
      </c>
      <c r="F32" s="4" t="s">
        <v>1</v>
      </c>
    </row>
    <row r="33" spans="1:24" ht="15" thickBot="1" x14ac:dyDescent="0.4">
      <c r="A33" s="4">
        <v>32</v>
      </c>
      <c r="B33" s="4" t="s">
        <v>0</v>
      </c>
      <c r="C33" s="4">
        <v>640</v>
      </c>
      <c r="D33" s="4">
        <v>4</v>
      </c>
      <c r="E33" s="4" t="s">
        <v>13</v>
      </c>
      <c r="F33" s="4" t="s">
        <v>1</v>
      </c>
    </row>
    <row r="34" spans="1:24" ht="15" thickBot="1" x14ac:dyDescent="0.4">
      <c r="A34" s="4">
        <v>33</v>
      </c>
      <c r="B34" s="4" t="s">
        <v>0</v>
      </c>
      <c r="C34" s="4">
        <v>650</v>
      </c>
      <c r="D34" s="4">
        <v>5</v>
      </c>
      <c r="E34" s="4" t="s">
        <v>13</v>
      </c>
      <c r="F34" s="4" t="s">
        <v>1</v>
      </c>
    </row>
    <row r="35" spans="1:24" ht="15" thickBot="1" x14ac:dyDescent="0.4">
      <c r="A35" s="4">
        <v>34</v>
      </c>
      <c r="B35" s="4" t="s">
        <v>0</v>
      </c>
      <c r="C35" s="4">
        <v>670</v>
      </c>
      <c r="D35" s="4">
        <v>3</v>
      </c>
      <c r="E35" s="4" t="s">
        <v>13</v>
      </c>
      <c r="F35" s="4" t="s">
        <v>1</v>
      </c>
      <c r="H35" s="3" t="s">
        <v>4</v>
      </c>
      <c r="N35" s="3" t="s">
        <v>1</v>
      </c>
      <c r="O35" s="3" t="s">
        <v>3</v>
      </c>
      <c r="P35" s="3" t="s">
        <v>10</v>
      </c>
    </row>
    <row r="36" spans="1:24" ht="15" thickBot="1" x14ac:dyDescent="0.4">
      <c r="A36" s="4">
        <v>35</v>
      </c>
      <c r="B36" s="4" t="s">
        <v>0</v>
      </c>
      <c r="C36" s="4">
        <v>680</v>
      </c>
      <c r="D36" s="4">
        <v>4</v>
      </c>
      <c r="E36" s="4" t="s">
        <v>13</v>
      </c>
      <c r="F36" s="4" t="s">
        <v>1</v>
      </c>
      <c r="H36" s="12">
        <f>(N36+N37)/(P36+P37)</f>
        <v>0.5</v>
      </c>
      <c r="M36" s="3" t="s">
        <v>6</v>
      </c>
      <c r="N36" s="3">
        <f>COUNTIFS(Tabela1[Material Protezy],"A",Tabela1[Lokalizacja Wszczepu],"T",Tabela1[Przetrwanie 2 Lata],"Tak")</f>
        <v>6</v>
      </c>
      <c r="O36" s="3">
        <f>COUNTIFS(Tabela1[Material Protezy],"A",Tabela1[Lokalizacja Wszczepu],"T",Tabela1[Przetrwanie 2 Lata],"Nie")</f>
        <v>9</v>
      </c>
      <c r="P36" s="3">
        <f>N36+O36</f>
        <v>15</v>
      </c>
    </row>
    <row r="37" spans="1:24" ht="15" thickBot="1" x14ac:dyDescent="0.4">
      <c r="A37" s="4">
        <v>36</v>
      </c>
      <c r="B37" s="4" t="s">
        <v>0</v>
      </c>
      <c r="C37" s="4">
        <v>630</v>
      </c>
      <c r="D37" s="4">
        <v>5</v>
      </c>
      <c r="E37" s="4" t="s">
        <v>13</v>
      </c>
      <c r="F37" s="4" t="s">
        <v>1</v>
      </c>
      <c r="M37" s="3" t="s">
        <v>7</v>
      </c>
      <c r="N37" s="3">
        <f>COUNTIFS(Tabela1[Material Protezy],"A",Tabela1[Lokalizacja Wszczepu],"P",Tabela1[Przetrwanie 2 Lata],"Tak")</f>
        <v>4</v>
      </c>
      <c r="O37" s="3">
        <f>COUNTIFS(Tabela1[Material Protezy],"A",Tabela1[Lokalizacja Wszczepu],"P",Tabela1[Przetrwanie 2 Lata],"Nie")</f>
        <v>1</v>
      </c>
      <c r="P37" s="3">
        <f t="shared" ref="P37:P40" si="0">N37+O37</f>
        <v>5</v>
      </c>
    </row>
    <row r="38" spans="1:24" ht="15" thickBot="1" x14ac:dyDescent="0.4">
      <c r="A38" s="4">
        <v>37</v>
      </c>
      <c r="B38" s="4" t="s">
        <v>0</v>
      </c>
      <c r="C38" s="4">
        <v>650</v>
      </c>
      <c r="D38" s="4">
        <v>4</v>
      </c>
      <c r="E38" s="4" t="s">
        <v>13</v>
      </c>
      <c r="F38" s="4" t="s">
        <v>1</v>
      </c>
      <c r="H38" s="3" t="s">
        <v>18</v>
      </c>
      <c r="M38" s="3" t="s">
        <v>8</v>
      </c>
      <c r="N38" s="3">
        <f>COUNTIFS(Tabela1[Material Protezy],"B",Tabela1[Lokalizacja Wszczepu],"T",Tabela1[Przetrwanie 2 Lata],"Tak")</f>
        <v>1</v>
      </c>
      <c r="O38" s="3">
        <f>COUNTIFS(Tabela1[Material Protezy],"B",Tabela1[Lokalizacja Wszczepu],"T",Tabela1[Przetrwanie 2 Lata],"Nie")</f>
        <v>4</v>
      </c>
      <c r="P38" s="3">
        <f t="shared" si="0"/>
        <v>5</v>
      </c>
    </row>
    <row r="39" spans="1:24" ht="15" thickBot="1" x14ac:dyDescent="0.4">
      <c r="A39" s="4">
        <v>38</v>
      </c>
      <c r="B39" s="4" t="s">
        <v>0</v>
      </c>
      <c r="C39" s="4">
        <v>620</v>
      </c>
      <c r="D39" s="4">
        <v>3</v>
      </c>
      <c r="E39" s="4" t="s">
        <v>13</v>
      </c>
      <c r="F39" s="4" t="s">
        <v>1</v>
      </c>
      <c r="H39" s="12">
        <f>(N38+N39)/(P38+P39)</f>
        <v>0.66666666666666663</v>
      </c>
      <c r="M39" s="3" t="s">
        <v>9</v>
      </c>
      <c r="N39" s="3">
        <f>COUNTIFS(Tabela1[Material Protezy],"B",Tabela1[Lokalizacja Wszczepu],"P",Tabela1[Przetrwanie 2 Lata],"Tak")</f>
        <v>19</v>
      </c>
      <c r="O39" s="3">
        <f>COUNTIFS(Tabela1[Material Protezy],"B",Tabela1[Lokalizacja Wszczepu],"P",Tabela1[Przetrwanie 2 Lata],"Nie")</f>
        <v>6</v>
      </c>
      <c r="P39" s="3">
        <f t="shared" si="0"/>
        <v>25</v>
      </c>
    </row>
    <row r="40" spans="1:24" ht="15" thickBot="1" x14ac:dyDescent="0.4">
      <c r="A40" s="4">
        <v>39</v>
      </c>
      <c r="B40" s="4" t="s">
        <v>0</v>
      </c>
      <c r="C40" s="4">
        <v>640</v>
      </c>
      <c r="D40" s="4">
        <v>4</v>
      </c>
      <c r="E40" s="4" t="s">
        <v>13</v>
      </c>
      <c r="F40" s="4" t="s">
        <v>1</v>
      </c>
      <c r="M40" s="3" t="s">
        <v>10</v>
      </c>
      <c r="N40" s="3">
        <f>SUM(N36:N39)</f>
        <v>30</v>
      </c>
      <c r="O40" s="3">
        <f>SUM(O36:O39)</f>
        <v>20</v>
      </c>
      <c r="P40" s="3">
        <f t="shared" si="0"/>
        <v>50</v>
      </c>
    </row>
    <row r="41" spans="1:24" ht="15" thickBot="1" x14ac:dyDescent="0.4">
      <c r="A41" s="4">
        <v>40</v>
      </c>
      <c r="B41" s="4" t="s">
        <v>0</v>
      </c>
      <c r="C41" s="4">
        <v>650</v>
      </c>
      <c r="D41" s="4">
        <v>5</v>
      </c>
      <c r="E41" s="4" t="s">
        <v>13</v>
      </c>
      <c r="F41" s="4" t="s">
        <v>3</v>
      </c>
      <c r="H41" s="3" t="s">
        <v>19</v>
      </c>
    </row>
    <row r="42" spans="1:24" ht="15" thickBot="1" x14ac:dyDescent="0.4">
      <c r="A42" s="4">
        <v>41</v>
      </c>
      <c r="B42" s="4" t="s">
        <v>0</v>
      </c>
      <c r="C42" s="4">
        <v>600</v>
      </c>
      <c r="D42" s="4">
        <v>2</v>
      </c>
      <c r="E42" s="4" t="s">
        <v>13</v>
      </c>
      <c r="F42" s="4" t="s">
        <v>3</v>
      </c>
      <c r="H42" s="12">
        <f>N36/P36</f>
        <v>0.4</v>
      </c>
      <c r="N42" s="3" t="s">
        <v>1</v>
      </c>
      <c r="O42" s="3" t="s">
        <v>3</v>
      </c>
      <c r="P42" s="3" t="s">
        <v>10</v>
      </c>
      <c r="Q42" s="3" t="s">
        <v>5</v>
      </c>
    </row>
    <row r="43" spans="1:24" ht="15" thickBot="1" x14ac:dyDescent="0.4">
      <c r="A43" s="4">
        <v>42</v>
      </c>
      <c r="B43" s="4" t="s">
        <v>0</v>
      </c>
      <c r="C43" s="4">
        <v>610</v>
      </c>
      <c r="D43" s="4">
        <v>3</v>
      </c>
      <c r="E43" s="4" t="s">
        <v>13</v>
      </c>
      <c r="F43" s="4" t="s">
        <v>3</v>
      </c>
      <c r="M43" s="3" t="s">
        <v>39</v>
      </c>
      <c r="N43" s="3">
        <f>N36+N37</f>
        <v>10</v>
      </c>
      <c r="O43" s="3">
        <f>O36+O37</f>
        <v>10</v>
      </c>
      <c r="P43" s="3">
        <f>O43+N43</f>
        <v>20</v>
      </c>
      <c r="Q43" s="13">
        <f>N43/P43</f>
        <v>0.5</v>
      </c>
    </row>
    <row r="44" spans="1:24" ht="15" thickBot="1" x14ac:dyDescent="0.4">
      <c r="A44" s="4">
        <v>43</v>
      </c>
      <c r="B44" s="4" t="s">
        <v>0</v>
      </c>
      <c r="C44" s="4">
        <v>620</v>
      </c>
      <c r="D44" s="4">
        <v>2</v>
      </c>
      <c r="E44" s="4" t="s">
        <v>13</v>
      </c>
      <c r="F44" s="4" t="s">
        <v>3</v>
      </c>
      <c r="H44" s="3" t="s">
        <v>20</v>
      </c>
      <c r="M44" s="3" t="s">
        <v>40</v>
      </c>
      <c r="N44" s="3">
        <f>N38+N39</f>
        <v>20</v>
      </c>
      <c r="O44" s="3">
        <f>O38+O39</f>
        <v>10</v>
      </c>
      <c r="P44" s="3">
        <f>N44+O44</f>
        <v>30</v>
      </c>
      <c r="Q44" s="13">
        <f>N44/P44</f>
        <v>0.66666666666666663</v>
      </c>
    </row>
    <row r="45" spans="1:24" ht="15" thickBot="1" x14ac:dyDescent="0.4">
      <c r="A45" s="4">
        <v>44</v>
      </c>
      <c r="B45" s="4" t="s">
        <v>0</v>
      </c>
      <c r="C45" s="4">
        <v>590</v>
      </c>
      <c r="D45" s="4">
        <v>3</v>
      </c>
      <c r="E45" s="4" t="s">
        <v>13</v>
      </c>
      <c r="F45" s="4" t="s">
        <v>3</v>
      </c>
      <c r="H45" s="12">
        <f>N37/P37</f>
        <v>0.8</v>
      </c>
    </row>
    <row r="46" spans="1:24" ht="15" thickBot="1" x14ac:dyDescent="0.4">
      <c r="A46" s="4">
        <v>45</v>
      </c>
      <c r="B46" s="4" t="s">
        <v>0</v>
      </c>
      <c r="C46" s="4">
        <v>630</v>
      </c>
      <c r="D46" s="4">
        <v>2</v>
      </c>
      <c r="E46" s="4" t="s">
        <v>13</v>
      </c>
      <c r="F46" s="4" t="s">
        <v>3</v>
      </c>
      <c r="M46" s="3" t="s">
        <v>42</v>
      </c>
      <c r="N46" s="1" t="s">
        <v>5</v>
      </c>
      <c r="O46" s="14"/>
      <c r="P46" s="14"/>
      <c r="Q46" s="14"/>
      <c r="R46" s="14"/>
      <c r="S46" s="14"/>
      <c r="T46" s="15"/>
      <c r="U46" s="15"/>
      <c r="V46" s="15"/>
      <c r="W46" s="15"/>
      <c r="X46" s="15"/>
    </row>
    <row r="47" spans="1:24" ht="15" thickBot="1" x14ac:dyDescent="0.4">
      <c r="A47" s="4">
        <v>46</v>
      </c>
      <c r="B47" s="4" t="s">
        <v>0</v>
      </c>
      <c r="C47" s="4">
        <v>610</v>
      </c>
      <c r="D47" s="4">
        <v>3</v>
      </c>
      <c r="E47" s="4" t="s">
        <v>12</v>
      </c>
      <c r="F47" s="4" t="s">
        <v>1</v>
      </c>
      <c r="H47" s="3" t="s">
        <v>21</v>
      </c>
      <c r="M47" s="3" t="s">
        <v>39</v>
      </c>
      <c r="N47" s="18">
        <f>H45</f>
        <v>0.8</v>
      </c>
      <c r="O47" s="16"/>
      <c r="P47" s="16"/>
      <c r="Q47" s="16"/>
      <c r="R47" s="16"/>
      <c r="S47" s="16"/>
      <c r="T47" s="15"/>
      <c r="U47" s="15"/>
      <c r="V47" s="15"/>
      <c r="W47" s="15"/>
      <c r="X47" s="15"/>
    </row>
    <row r="48" spans="1:24" ht="15" thickBot="1" x14ac:dyDescent="0.4">
      <c r="A48" s="4">
        <v>47</v>
      </c>
      <c r="B48" s="4" t="s">
        <v>0</v>
      </c>
      <c r="C48" s="4">
        <v>580</v>
      </c>
      <c r="D48" s="4">
        <v>2</v>
      </c>
      <c r="E48" s="4" t="s">
        <v>12</v>
      </c>
      <c r="F48" s="4" t="s">
        <v>3</v>
      </c>
      <c r="H48" s="12">
        <f>N38/P38</f>
        <v>0.2</v>
      </c>
      <c r="M48" s="3" t="s">
        <v>40</v>
      </c>
      <c r="N48" s="18">
        <f>H51</f>
        <v>0.76</v>
      </c>
      <c r="O48" s="16"/>
      <c r="P48" s="16"/>
      <c r="Q48" s="16"/>
      <c r="R48" s="16"/>
      <c r="S48" s="16"/>
      <c r="T48" s="14"/>
      <c r="U48" s="14"/>
      <c r="V48" s="14"/>
      <c r="W48" s="14"/>
      <c r="X48" s="15"/>
    </row>
    <row r="49" spans="1:24" ht="15" thickBot="1" x14ac:dyDescent="0.4">
      <c r="A49" s="4">
        <v>48</v>
      </c>
      <c r="B49" s="4" t="s">
        <v>0</v>
      </c>
      <c r="C49" s="4">
        <v>600</v>
      </c>
      <c r="D49" s="4">
        <v>1</v>
      </c>
      <c r="E49" s="4" t="s">
        <v>12</v>
      </c>
      <c r="F49" s="4" t="s">
        <v>3</v>
      </c>
      <c r="N49" s="16"/>
      <c r="O49" s="16"/>
      <c r="P49" s="16"/>
      <c r="Q49" s="16"/>
      <c r="R49" s="16"/>
      <c r="S49" s="16"/>
      <c r="T49" s="17"/>
      <c r="U49" s="17"/>
      <c r="V49" s="17"/>
      <c r="W49" s="17"/>
      <c r="X49" s="15"/>
    </row>
    <row r="50" spans="1:24" ht="15" thickBot="1" x14ac:dyDescent="0.4">
      <c r="A50" s="4">
        <v>49</v>
      </c>
      <c r="B50" s="4" t="s">
        <v>0</v>
      </c>
      <c r="C50" s="4">
        <v>620</v>
      </c>
      <c r="D50" s="4">
        <v>2</v>
      </c>
      <c r="E50" s="4" t="s">
        <v>12</v>
      </c>
      <c r="F50" s="4" t="s">
        <v>3</v>
      </c>
      <c r="H50" s="3" t="s">
        <v>22</v>
      </c>
      <c r="M50" s="3" t="s">
        <v>43</v>
      </c>
      <c r="N50" s="1" t="s">
        <v>5</v>
      </c>
      <c r="O50" s="16"/>
      <c r="P50" s="16"/>
      <c r="Q50" s="16"/>
      <c r="R50" s="16"/>
      <c r="S50" s="16"/>
      <c r="T50" s="16"/>
      <c r="U50" s="16"/>
      <c r="V50" s="16"/>
      <c r="W50" s="14"/>
      <c r="X50" s="15"/>
    </row>
    <row r="51" spans="1:24" ht="15" thickBot="1" x14ac:dyDescent="0.4">
      <c r="A51" s="4">
        <v>50</v>
      </c>
      <c r="B51" s="4" t="s">
        <v>0</v>
      </c>
      <c r="C51" s="4">
        <v>590</v>
      </c>
      <c r="D51" s="4">
        <v>1</v>
      </c>
      <c r="E51" s="4" t="s">
        <v>12</v>
      </c>
      <c r="F51" s="4" t="s">
        <v>3</v>
      </c>
      <c r="H51" s="12">
        <f>N39/P39</f>
        <v>0.76</v>
      </c>
      <c r="M51" s="3" t="s">
        <v>39</v>
      </c>
      <c r="N51" s="18">
        <f>H42</f>
        <v>0.4</v>
      </c>
      <c r="O51" s="16"/>
      <c r="P51" s="16"/>
      <c r="Q51" s="16"/>
      <c r="R51" s="16"/>
      <c r="S51" s="16"/>
      <c r="T51" s="16"/>
      <c r="U51" s="16"/>
      <c r="V51" s="16"/>
      <c r="W51" s="16"/>
      <c r="X51" s="15"/>
    </row>
    <row r="52" spans="1:24" x14ac:dyDescent="0.35">
      <c r="M52" s="3" t="s">
        <v>40</v>
      </c>
      <c r="N52" s="18">
        <f>H48</f>
        <v>0.2</v>
      </c>
      <c r="O52" s="16"/>
      <c r="P52" s="16"/>
      <c r="Q52" s="16"/>
      <c r="R52" s="16"/>
      <c r="S52" s="16"/>
      <c r="T52" s="16"/>
      <c r="U52" s="16"/>
      <c r="V52" s="16"/>
      <c r="W52" s="16"/>
      <c r="X52" s="15"/>
    </row>
    <row r="53" spans="1:24" x14ac:dyDescent="0.35"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5"/>
    </row>
    <row r="54" spans="1:24" x14ac:dyDescent="0.35"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5"/>
    </row>
    <row r="55" spans="1:24" x14ac:dyDescent="0.35"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5"/>
    </row>
    <row r="56" spans="1:24" x14ac:dyDescent="0.35">
      <c r="N56" s="16"/>
      <c r="O56" s="16"/>
      <c r="P56" s="16"/>
      <c r="Q56" s="16"/>
      <c r="R56" s="16"/>
      <c r="S56" s="16"/>
      <c r="T56" s="16"/>
      <c r="U56" s="16"/>
      <c r="V56" s="16"/>
      <c r="W56" s="14"/>
      <c r="X56" s="15"/>
    </row>
    <row r="57" spans="1:24" x14ac:dyDescent="0.35"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5"/>
    </row>
    <row r="58" spans="1:24" x14ac:dyDescent="0.35"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5"/>
    </row>
    <row r="59" spans="1:24" x14ac:dyDescent="0.35"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5"/>
    </row>
    <row r="60" spans="1:24" x14ac:dyDescent="0.35">
      <c r="N60" s="16"/>
      <c r="O60" s="16"/>
      <c r="P60" s="16"/>
      <c r="Q60" s="16"/>
      <c r="R60" s="16"/>
      <c r="S60" s="16"/>
      <c r="T60" s="16"/>
      <c r="U60" s="16"/>
      <c r="V60" s="16"/>
      <c r="W60" s="14"/>
      <c r="X60" s="15"/>
    </row>
    <row r="61" spans="1:24" x14ac:dyDescent="0.35"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5"/>
    </row>
    <row r="62" spans="1:24" x14ac:dyDescent="0.35">
      <c r="N62" s="16"/>
      <c r="O62" s="16"/>
      <c r="P62" s="16"/>
      <c r="Q62" s="16"/>
      <c r="R62" s="16"/>
      <c r="S62" s="16"/>
      <c r="T62" s="15"/>
      <c r="U62" s="15"/>
      <c r="V62" s="15"/>
      <c r="W62" s="15"/>
      <c r="X62" s="15"/>
    </row>
    <row r="63" spans="1:24" x14ac:dyDescent="0.35">
      <c r="N63" s="16"/>
      <c r="O63" s="16"/>
      <c r="P63" s="16"/>
      <c r="Q63" s="16"/>
      <c r="R63" s="16"/>
      <c r="S63" s="16"/>
      <c r="T63" s="15"/>
      <c r="U63" s="15"/>
      <c r="V63" s="15"/>
      <c r="W63" s="15"/>
      <c r="X63" s="15"/>
    </row>
    <row r="64" spans="1:24" x14ac:dyDescent="0.35">
      <c r="N64" s="16"/>
      <c r="O64" s="16"/>
      <c r="P64" s="16"/>
      <c r="Q64" s="16"/>
      <c r="R64" s="16"/>
      <c r="S64" s="16"/>
    </row>
    <row r="65" spans="14:19" x14ac:dyDescent="0.35">
      <c r="N65" s="16"/>
      <c r="O65" s="16"/>
      <c r="P65" s="16"/>
      <c r="Q65" s="16"/>
      <c r="R65" s="16"/>
      <c r="S65" s="16"/>
    </row>
    <row r="66" spans="14:19" x14ac:dyDescent="0.35">
      <c r="N66" s="16"/>
      <c r="O66" s="16"/>
      <c r="P66" s="16"/>
      <c r="Q66" s="16"/>
      <c r="R66" s="16"/>
      <c r="S66" s="16"/>
    </row>
    <row r="67" spans="14:19" x14ac:dyDescent="0.35">
      <c r="N67" s="16"/>
      <c r="O67" s="16"/>
      <c r="P67" s="16"/>
      <c r="Q67" s="16"/>
      <c r="R67" s="16"/>
      <c r="S67" s="16"/>
    </row>
    <row r="68" spans="14:19" x14ac:dyDescent="0.35">
      <c r="N68" s="16"/>
      <c r="O68" s="16"/>
      <c r="P68" s="16"/>
      <c r="Q68" s="16"/>
      <c r="R68" s="16"/>
      <c r="S68" s="16"/>
    </row>
    <row r="69" spans="14:19" x14ac:dyDescent="0.35">
      <c r="N69" s="16"/>
      <c r="O69" s="16"/>
      <c r="P69" s="16"/>
      <c r="Q69" s="16"/>
      <c r="R69" s="16"/>
      <c r="S69" s="16"/>
    </row>
    <row r="70" spans="14:19" x14ac:dyDescent="0.35">
      <c r="N70" s="16"/>
      <c r="O70" s="16"/>
      <c r="P70" s="16"/>
      <c r="Q70" s="16"/>
      <c r="R70" s="16"/>
      <c r="S70" s="16"/>
    </row>
    <row r="71" spans="14:19" x14ac:dyDescent="0.35">
      <c r="N71" s="16"/>
      <c r="O71" s="16"/>
      <c r="P71" s="16"/>
      <c r="Q71" s="16"/>
      <c r="R71" s="16"/>
      <c r="S71" s="16"/>
    </row>
    <row r="72" spans="14:19" x14ac:dyDescent="0.35">
      <c r="N72" s="16"/>
      <c r="O72" s="16"/>
      <c r="P72" s="16"/>
      <c r="Q72" s="16"/>
      <c r="R72" s="16"/>
      <c r="S72" s="16"/>
    </row>
    <row r="73" spans="14:19" x14ac:dyDescent="0.35">
      <c r="N73" s="16"/>
      <c r="O73" s="16"/>
      <c r="P73" s="16"/>
      <c r="Q73" s="16"/>
      <c r="R73" s="16"/>
      <c r="S73" s="16"/>
    </row>
    <row r="74" spans="14:19" x14ac:dyDescent="0.35">
      <c r="N74" s="16"/>
      <c r="O74" s="16"/>
      <c r="P74" s="16"/>
      <c r="Q74" s="16"/>
      <c r="R74" s="16"/>
      <c r="S74" s="16"/>
    </row>
    <row r="75" spans="14:19" x14ac:dyDescent="0.35">
      <c r="N75" s="16"/>
      <c r="O75" s="16"/>
      <c r="P75" s="16"/>
      <c r="Q75" s="16"/>
      <c r="R75" s="16"/>
      <c r="S75" s="16"/>
    </row>
    <row r="76" spans="14:19" x14ac:dyDescent="0.35">
      <c r="N76" s="16"/>
      <c r="O76" s="16"/>
      <c r="P76" s="16"/>
      <c r="Q76" s="16"/>
      <c r="R76" s="16"/>
      <c r="S76" s="16"/>
    </row>
    <row r="77" spans="14:19" x14ac:dyDescent="0.35">
      <c r="N77" s="16"/>
      <c r="O77" s="16"/>
      <c r="P77" s="16"/>
      <c r="Q77" s="16"/>
      <c r="R77" s="16"/>
      <c r="S77" s="16"/>
    </row>
    <row r="78" spans="14:19" x14ac:dyDescent="0.35">
      <c r="N78" s="16"/>
      <c r="O78" s="16"/>
      <c r="P78" s="16"/>
      <c r="Q78" s="16"/>
      <c r="R78" s="16"/>
      <c r="S78" s="16"/>
    </row>
    <row r="79" spans="14:19" x14ac:dyDescent="0.35">
      <c r="N79" s="16"/>
      <c r="O79" s="16"/>
      <c r="P79" s="16"/>
      <c r="Q79" s="16"/>
      <c r="R79" s="16"/>
      <c r="S79" s="16"/>
    </row>
    <row r="80" spans="14:19" x14ac:dyDescent="0.35">
      <c r="N80" s="16"/>
      <c r="O80" s="16"/>
      <c r="P80" s="16"/>
      <c r="Q80" s="16"/>
      <c r="R80" s="16"/>
      <c r="S80" s="16"/>
    </row>
    <row r="81" spans="14:19" x14ac:dyDescent="0.35">
      <c r="N81" s="16"/>
      <c r="O81" s="16"/>
      <c r="P81" s="16"/>
      <c r="Q81" s="16"/>
      <c r="R81" s="16"/>
      <c r="S81" s="16"/>
    </row>
    <row r="82" spans="14:19" x14ac:dyDescent="0.35">
      <c r="N82" s="16"/>
      <c r="O82" s="16"/>
      <c r="P82" s="16"/>
      <c r="Q82" s="16"/>
      <c r="R82" s="16"/>
      <c r="S82" s="16"/>
    </row>
    <row r="83" spans="14:19" x14ac:dyDescent="0.35">
      <c r="N83" s="16"/>
      <c r="O83" s="16"/>
      <c r="P83" s="16"/>
      <c r="Q83" s="16"/>
      <c r="R83" s="16"/>
      <c r="S83" s="16"/>
    </row>
    <row r="84" spans="14:19" x14ac:dyDescent="0.35">
      <c r="N84" s="16"/>
      <c r="O84" s="16"/>
      <c r="P84" s="16"/>
      <c r="Q84" s="16"/>
      <c r="R84" s="16"/>
      <c r="S84" s="16"/>
    </row>
    <row r="85" spans="14:19" x14ac:dyDescent="0.35">
      <c r="N85" s="16"/>
      <c r="O85" s="16"/>
      <c r="P85" s="16"/>
      <c r="Q85" s="16"/>
      <c r="R85" s="16"/>
      <c r="S85" s="16"/>
    </row>
    <row r="86" spans="14:19" x14ac:dyDescent="0.35">
      <c r="N86" s="16"/>
      <c r="O86" s="16"/>
      <c r="P86" s="16"/>
      <c r="Q86" s="16"/>
      <c r="R86" s="16"/>
      <c r="S86" s="16"/>
    </row>
    <row r="87" spans="14:19" x14ac:dyDescent="0.35">
      <c r="N87" s="16"/>
      <c r="O87" s="16"/>
      <c r="P87" s="16"/>
      <c r="Q87" s="16"/>
      <c r="R87" s="16"/>
      <c r="S87" s="16"/>
    </row>
    <row r="88" spans="14:19" x14ac:dyDescent="0.35">
      <c r="N88" s="14"/>
      <c r="O88" s="16"/>
      <c r="P88" s="16"/>
      <c r="Q88" s="16"/>
      <c r="R88" s="16"/>
      <c r="S88" s="16"/>
    </row>
    <row r="89" spans="14:19" x14ac:dyDescent="0.35">
      <c r="N89" s="16"/>
      <c r="O89" s="16"/>
      <c r="P89" s="16"/>
      <c r="Q89" s="16"/>
      <c r="R89" s="16"/>
      <c r="S89" s="16"/>
    </row>
    <row r="90" spans="14:19" x14ac:dyDescent="0.35">
      <c r="N90" s="16"/>
      <c r="O90" s="16"/>
      <c r="P90" s="16"/>
      <c r="Q90" s="16"/>
      <c r="R90" s="16"/>
      <c r="S90" s="16"/>
    </row>
    <row r="91" spans="14:19" x14ac:dyDescent="0.35">
      <c r="N91" s="16"/>
      <c r="O91" s="16"/>
      <c r="P91" s="16"/>
      <c r="Q91" s="16"/>
      <c r="R91" s="16"/>
      <c r="S91" s="16"/>
    </row>
    <row r="92" spans="14:19" x14ac:dyDescent="0.35">
      <c r="N92" s="16"/>
      <c r="O92" s="16"/>
      <c r="P92" s="16"/>
      <c r="Q92" s="16"/>
      <c r="R92" s="16"/>
      <c r="S92" s="16"/>
    </row>
    <row r="93" spans="14:19" x14ac:dyDescent="0.35">
      <c r="N93" s="16"/>
      <c r="O93" s="16"/>
      <c r="P93" s="16"/>
      <c r="Q93" s="16"/>
      <c r="R93" s="16"/>
      <c r="S93" s="16"/>
    </row>
    <row r="94" spans="14:19" x14ac:dyDescent="0.35">
      <c r="N94" s="16"/>
      <c r="O94" s="16"/>
      <c r="P94" s="16"/>
      <c r="Q94" s="16"/>
      <c r="R94" s="16"/>
      <c r="S94" s="16"/>
    </row>
    <row r="95" spans="14:19" x14ac:dyDescent="0.35">
      <c r="N95" s="16"/>
      <c r="O95" s="16"/>
      <c r="P95" s="16"/>
      <c r="Q95" s="16"/>
      <c r="R95" s="16"/>
      <c r="S95" s="16"/>
    </row>
    <row r="96" spans="14:19" x14ac:dyDescent="0.35">
      <c r="N96" s="16"/>
      <c r="O96" s="16"/>
      <c r="P96" s="16"/>
      <c r="Q96" s="16"/>
      <c r="R96" s="16"/>
      <c r="S96" s="16"/>
    </row>
    <row r="97" spans="14:19" x14ac:dyDescent="0.35">
      <c r="N97" s="16"/>
      <c r="O97" s="16"/>
      <c r="P97" s="16"/>
      <c r="Q97" s="16"/>
      <c r="R97" s="16"/>
      <c r="S97" s="16"/>
    </row>
    <row r="98" spans="14:19" x14ac:dyDescent="0.35">
      <c r="N98" s="16"/>
      <c r="O98" s="16"/>
      <c r="P98" s="16"/>
      <c r="Q98" s="16"/>
      <c r="R98" s="16"/>
      <c r="S98" s="16"/>
    </row>
  </sheetData>
  <sortState xmlns:xlrd2="http://schemas.microsoft.com/office/spreadsheetml/2017/richdata2" ref="A2:F52">
    <sortCondition ref="F2:F52"/>
    <sortCondition ref="B2:B52"/>
    <sortCondition ref="E2:E52"/>
  </sortState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Wojna</dc:creator>
  <cp:lastModifiedBy>Michał Wojna</cp:lastModifiedBy>
  <dcterms:created xsi:type="dcterms:W3CDTF">2025-12-15T21:03:40Z</dcterms:created>
  <dcterms:modified xsi:type="dcterms:W3CDTF">2025-12-16T00:35:50Z</dcterms:modified>
</cp:coreProperties>
</file>