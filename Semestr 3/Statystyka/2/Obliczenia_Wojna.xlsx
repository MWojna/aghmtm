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3\Statystyka\2\"/>
    </mc:Choice>
  </mc:AlternateContent>
  <xr:revisionPtr revIDLastSave="0" documentId="13_ncr:1_{930DBF93-834A-471E-8FCB-A28E229812DD}" xr6:coauthVersionLast="47" xr6:coauthVersionMax="47" xr10:uidLastSave="{00000000-0000-0000-0000-000000000000}"/>
  <bookViews>
    <workbookView xWindow="9620" yWindow="20" windowWidth="19380" windowHeight="21690" xr2:uid="{C93C0F95-7A53-4198-A40C-1AF2E58F9CE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F9" i="1" l="1"/>
  <c r="F8" i="1"/>
  <c r="E9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<sst xmlns="http://schemas.openxmlformats.org/spreadsheetml/2006/main" count="45" uniqueCount="42">
  <si>
    <t>Wyskok Y [cm]</t>
  </si>
  <si>
    <t>Sztywnosc X [N/mm]</t>
  </si>
  <si>
    <t>Średnia</t>
  </si>
  <si>
    <t>Mediana</t>
  </si>
  <si>
    <t>Wariancja</t>
  </si>
  <si>
    <t>Minimum</t>
  </si>
  <si>
    <t>Maksimum</t>
  </si>
  <si>
    <t>Y</t>
  </si>
  <si>
    <t>X</t>
  </si>
  <si>
    <t>Miara</t>
  </si>
  <si>
    <t>Liczebność (n)</t>
  </si>
  <si>
    <t>Odch.stand.</t>
  </si>
  <si>
    <t>Kolumna 1</t>
  </si>
  <si>
    <t>Kolumna 2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</si>
  <si>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</si>
  <si>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</si>
  <si>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</si>
  <si>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</si>
  <si>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</si>
  <si>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</si>
  <si>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</si>
  <si>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</si>
  <si>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Regresja</t>
  </si>
  <si>
    <t>Resztkowy</t>
  </si>
  <si>
    <t>Razem</t>
  </si>
  <si>
    <t>Przecięcie</t>
  </si>
  <si>
    <t>df</t>
  </si>
  <si>
    <t>SS</t>
  </si>
  <si>
    <t>MS</t>
  </si>
  <si>
    <t>F</t>
  </si>
  <si>
    <t>Istotność F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</si>
  <si>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</si>
  <si>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</si>
  <si>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</si>
  <si>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</si>
  <si>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</si>
  <si>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</si>
  <si>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</si>
  <si>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Zmienna X 1</t>
  </si>
  <si>
    <t>REGRESJA</t>
  </si>
  <si>
    <t>KORELACJA</t>
  </si>
  <si>
    <t xml:space="preserve">Pearson (r)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</si>
</sst>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</font>
    <font>
      <i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2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vertical="center" wrapText="1"/>
    </xf>
    <xf numFmtId="0" fontId="0" fillId="2" borderId="0" xfId="0" applyFill="1" applyBorder="1" applyAlignment="1"/>
    <xf numFmtId="0" fontId="0" fillId="2" borderId="2" xfId="0" applyFill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wysokości skoku od sztywności</a:t>
            </a:r>
            <a:r>
              <a:rPr lang="pl-PL" baseline="0"/>
              <a:t> protezy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Arkusz1!$A$2:$A$51</c:f>
              <c:numCache>
                <c:formatCode>General</c:formatCode>
                <c:ptCount val="50"/>
                <c:pt idx="0">
                  <c:v>42.15</c:v>
                </c:pt>
                <c:pt idx="1">
                  <c:v>43.8</c:v>
                </c:pt>
                <c:pt idx="2">
                  <c:v>45.2</c:v>
                </c:pt>
                <c:pt idx="3">
                  <c:v>46.9</c:v>
                </c:pt>
                <c:pt idx="4">
                  <c:v>48.1</c:v>
                </c:pt>
                <c:pt idx="5">
                  <c:v>49.5</c:v>
                </c:pt>
                <c:pt idx="6">
                  <c:v>51.2</c:v>
                </c:pt>
                <c:pt idx="7">
                  <c:v>52.8</c:v>
                </c:pt>
                <c:pt idx="8">
                  <c:v>54.1</c:v>
                </c:pt>
                <c:pt idx="9">
                  <c:v>55.9</c:v>
                </c:pt>
                <c:pt idx="10">
                  <c:v>57.3</c:v>
                </c:pt>
                <c:pt idx="11">
                  <c:v>59</c:v>
                </c:pt>
                <c:pt idx="12">
                  <c:v>60.4</c:v>
                </c:pt>
                <c:pt idx="13">
                  <c:v>62.1</c:v>
                </c:pt>
                <c:pt idx="14">
                  <c:v>63.8</c:v>
                </c:pt>
                <c:pt idx="15">
                  <c:v>65.2</c:v>
                </c:pt>
                <c:pt idx="16">
                  <c:v>66.900000000000006</c:v>
                </c:pt>
                <c:pt idx="17">
                  <c:v>68.5</c:v>
                </c:pt>
                <c:pt idx="18">
                  <c:v>70.099999999999994</c:v>
                </c:pt>
                <c:pt idx="19">
                  <c:v>71.8</c:v>
                </c:pt>
                <c:pt idx="20">
                  <c:v>73.400000000000006</c:v>
                </c:pt>
                <c:pt idx="21">
                  <c:v>75</c:v>
                </c:pt>
                <c:pt idx="22">
                  <c:v>76.5</c:v>
                </c:pt>
                <c:pt idx="23">
                  <c:v>78.2</c:v>
                </c:pt>
                <c:pt idx="24">
                  <c:v>79.900000000000006</c:v>
                </c:pt>
                <c:pt idx="25">
                  <c:v>81.5</c:v>
                </c:pt>
                <c:pt idx="26">
                  <c:v>83.1</c:v>
                </c:pt>
                <c:pt idx="27">
                  <c:v>84.8</c:v>
                </c:pt>
                <c:pt idx="28">
                  <c:v>86.4</c:v>
                </c:pt>
                <c:pt idx="29">
                  <c:v>88</c:v>
                </c:pt>
                <c:pt idx="30">
                  <c:v>89.6</c:v>
                </c:pt>
                <c:pt idx="31">
                  <c:v>91.3</c:v>
                </c:pt>
                <c:pt idx="32">
                  <c:v>92.9</c:v>
                </c:pt>
                <c:pt idx="33">
                  <c:v>94.5</c:v>
                </c:pt>
                <c:pt idx="34">
                  <c:v>96.2</c:v>
                </c:pt>
                <c:pt idx="35">
                  <c:v>97.8</c:v>
                </c:pt>
                <c:pt idx="36">
                  <c:v>99.4</c:v>
                </c:pt>
                <c:pt idx="37">
                  <c:v>101.1</c:v>
                </c:pt>
                <c:pt idx="38">
                  <c:v>102.7</c:v>
                </c:pt>
                <c:pt idx="39">
                  <c:v>104.3</c:v>
                </c:pt>
                <c:pt idx="40">
                  <c:v>106</c:v>
                </c:pt>
                <c:pt idx="41">
                  <c:v>107.6</c:v>
                </c:pt>
                <c:pt idx="42">
                  <c:v>109.2</c:v>
                </c:pt>
                <c:pt idx="43">
                  <c:v>110.9</c:v>
                </c:pt>
                <c:pt idx="44">
                  <c:v>112.5</c:v>
                </c:pt>
                <c:pt idx="45">
                  <c:v>114.1</c:v>
                </c:pt>
                <c:pt idx="46">
                  <c:v>115.8</c:v>
                </c:pt>
                <c:pt idx="47">
                  <c:v>117.4</c:v>
                </c:pt>
                <c:pt idx="48">
                  <c:v>119</c:v>
                </c:pt>
                <c:pt idx="49">
                  <c:v>120.7</c:v>
                </c:pt>
              </c:numCache>
            </c:numRef>
          </c:xVal>
          <c:yVal>
            <c:numRef>
              <c:f>Arkusz1!$B$2:$B$51</c:f>
              <c:numCache>
                <c:formatCode>General</c:formatCode>
                <c:ptCount val="50"/>
                <c:pt idx="0">
                  <c:v>36.5</c:v>
                </c:pt>
                <c:pt idx="1">
                  <c:v>38.1</c:v>
                </c:pt>
                <c:pt idx="2">
                  <c:v>37.9</c:v>
                </c:pt>
                <c:pt idx="3">
                  <c:v>39.5</c:v>
                </c:pt>
                <c:pt idx="4">
                  <c:v>40.200000000000003</c:v>
                </c:pt>
                <c:pt idx="5">
                  <c:v>41.1</c:v>
                </c:pt>
                <c:pt idx="6">
                  <c:v>40.799999999999997</c:v>
                </c:pt>
                <c:pt idx="7">
                  <c:v>43.5</c:v>
                </c:pt>
                <c:pt idx="8">
                  <c:v>42.9</c:v>
                </c:pt>
                <c:pt idx="9">
                  <c:v>44.1</c:v>
                </c:pt>
                <c:pt idx="10">
                  <c:v>45.8</c:v>
                </c:pt>
                <c:pt idx="11">
                  <c:v>46.2</c:v>
                </c:pt>
                <c:pt idx="12">
                  <c:v>44.9</c:v>
                </c:pt>
                <c:pt idx="13">
                  <c:v>47.5</c:v>
                </c:pt>
                <c:pt idx="14">
                  <c:v>48.1</c:v>
                </c:pt>
                <c:pt idx="15">
                  <c:v>49.3</c:v>
                </c:pt>
                <c:pt idx="16">
                  <c:v>48.8</c:v>
                </c:pt>
                <c:pt idx="17">
                  <c:v>50.5</c:v>
                </c:pt>
                <c:pt idx="18">
                  <c:v>51.2</c:v>
                </c:pt>
                <c:pt idx="19">
                  <c:v>52.9</c:v>
                </c:pt>
                <c:pt idx="20">
                  <c:v>50.8</c:v>
                </c:pt>
                <c:pt idx="21">
                  <c:v>53.5</c:v>
                </c:pt>
                <c:pt idx="22">
                  <c:v>54.9</c:v>
                </c:pt>
                <c:pt idx="23">
                  <c:v>55.1</c:v>
                </c:pt>
                <c:pt idx="24">
                  <c:v>56.5</c:v>
                </c:pt>
                <c:pt idx="25">
                  <c:v>57.2</c:v>
                </c:pt>
                <c:pt idx="26">
                  <c:v>56.8</c:v>
                </c:pt>
                <c:pt idx="27">
                  <c:v>58.9</c:v>
                </c:pt>
                <c:pt idx="28">
                  <c:v>59.5</c:v>
                </c:pt>
                <c:pt idx="29">
                  <c:v>60.1</c:v>
                </c:pt>
                <c:pt idx="30">
                  <c:v>61.8</c:v>
                </c:pt>
                <c:pt idx="31">
                  <c:v>62.5</c:v>
                </c:pt>
                <c:pt idx="32">
                  <c:v>60.9</c:v>
                </c:pt>
                <c:pt idx="33">
                  <c:v>63.8</c:v>
                </c:pt>
                <c:pt idx="34">
                  <c:v>65.099999999999994</c:v>
                </c:pt>
                <c:pt idx="35">
                  <c:v>64.5</c:v>
                </c:pt>
                <c:pt idx="36">
                  <c:v>66.8</c:v>
                </c:pt>
                <c:pt idx="37">
                  <c:v>67.2</c:v>
                </c:pt>
                <c:pt idx="38">
                  <c:v>68.5</c:v>
                </c:pt>
                <c:pt idx="39">
                  <c:v>69.099999999999994</c:v>
                </c:pt>
                <c:pt idx="40">
                  <c:v>68.900000000000006</c:v>
                </c:pt>
                <c:pt idx="41">
                  <c:v>70.5</c:v>
                </c:pt>
                <c:pt idx="42">
                  <c:v>71.8</c:v>
                </c:pt>
                <c:pt idx="43">
                  <c:v>72.099999999999994</c:v>
                </c:pt>
                <c:pt idx="44">
                  <c:v>73.5</c:v>
                </c:pt>
                <c:pt idx="45">
                  <c:v>74.2</c:v>
                </c:pt>
                <c:pt idx="46">
                  <c:v>75.8</c:v>
                </c:pt>
                <c:pt idx="47">
                  <c:v>74.900000000000006</c:v>
                </c:pt>
                <c:pt idx="48">
                  <c:v>76.5</c:v>
                </c:pt>
                <c:pt idx="49">
                  <c:v>77.900000000000006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5-47BB-B536-A0611F36B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108400"/>
        <c:axId val="663111280"/>
      </c:scatterChart>
      <c:valAx>
        <c:axId val="663108400"/>
        <c:scaling>
          <c:orientation val="minMax"/>
          <c:max val="125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sztywność</a:t>
                </a:r>
                <a:r>
                  <a:rPr lang="pl-PL" baseline="0"/>
                  <a:t> protezy [N/mm]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3111280"/>
        <c:crosses val="autoZero"/>
        <c:crossBetween val="midCat"/>
      </c:valAx>
      <c:valAx>
        <c:axId val="663111280"/>
        <c:scaling>
          <c:orientation val="minMax"/>
          <c:max val="80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wysokość skoku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310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54429</xdr:colOff>
      <xdr:row>10</xdr:row>
      <xdr:rowOff>70757</xdr:rowOff>
    </xdr:from>
    <xdr:to>
      <xdr:col>5</xdr:col>
      <xdr:colOff>1690915</xdr:colOff>
      <xdr:row>24</xdr:row>
      <xdr:rowOff>121557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7F11B18-24DE-B333-BF09-3E4D570C0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ECF9-D084-4185-AF4E-683F4D4CBABB}">
  <dimension ref="A1:P51"/>
  <sheetViews>
    <sheetView tabSelected="1" topLeftCell="B1" zoomScale="145" zoomScaleNormal="145" workbookViewId="0">
      <selection activeCell="E28" sqref="E28"/>
    </sheetView>
  </sheetViews>
  <sheetFormatPr defaultRowHeight="14.5" x14ac:dyDescent="0.35"/>
  <cols>
    <col min="1" max="1" width="21.81640625" customWidth="1"/>
    <col min="2" max="2" width="16" customWidth="1"/>
    <col min="4" max="4" width="19.7265625" customWidth="1"/>
    <col min="5" max="5" width="22.26953125" customWidth="1"/>
    <col min="6" max="6" width="26.6328125" customWidth="1"/>
    <col min="8" max="8" width="23.7265625" bestFit="1" customWidth="1"/>
    <col min="9" max="9" width="13" bestFit="1" customWidth="1"/>
    <col min="10" max="10" width="15.90625" bestFit="1" customWidth="1"/>
    <col min="11" max="16" width="12.1796875" bestFit="1" customWidth="1"/>
  </cols>
  <sheetData>
    <row r="1" spans="1:10" ht="23" customHeight="1" thickBot="1" x14ac:dyDescent="0.4">
      <c r="A1" s="1" t="s">
        <v>1</v>
      </c>
      <c r="B1" s="1" t="s">
        <v>0</v>
      </c>
    </row>
    <row r="2" spans="1:10" ht="15" thickBot="1" x14ac:dyDescent="0.4">
      <c r="A2" s="1">
        <v>42.15</v>
      </c>
      <c r="B2" s="1">
        <v>36.5</v>
      </c>
      <c r="D2" s="1" t="s">
        <v>9</v>
      </c>
      <c r="E2" s="1" t="s">
        <v>8</v>
      </c>
      <c r="F2" s="1" t="s">
        <v>7</v>
      </c>
      <c r="H2" s="7" t="s">
        <v>40</v>
      </c>
    </row>
    <row r="3" spans="1:10" ht="15" thickBot="1" x14ac:dyDescent="0.4">
      <c r="A3" s="1">
        <v>43.8</v>
      </c>
      <c r="B3" s="1">
        <v>38.1</v>
      </c>
      <c r="D3" s="1" t="s">
        <v>10</v>
      </c>
      <c r="E3" s="1">
        <v>50</v>
      </c>
      <c r="F3" s="1">
        <v>50</v>
      </c>
      <c r="H3" s="6"/>
      <c r="I3" s="4" t="s">
        <v>12</v>
      </c>
      <c r="J3" s="4" t="s">
        <v>13</v>
      </c>
    </row>
    <row r="4" spans="1:10" ht="15" thickBot="1" x14ac:dyDescent="0.4">
      <c r="A4" s="1">
        <v>45.2</v>
      </c>
      <c r="B4" s="1">
        <v>37.9</v>
      </c>
      <c r="D4" s="1" t="s">
        <v>2</v>
      </c>
      <c r="E4" s="1">
        <f>AVERAGE(A2:A51)</f>
        <v>80.890999999999991</v>
      </c>
      <c r="F4" s="1">
        <f>AVERAGE(B2:B51)</f>
        <v>56.788000000000004</v>
      </c>
      <c r="H4" s="2" t="s">
        <v>12</v>
      </c>
      <c r="I4" s="2">
        <v>1</v>
      </c>
      <c r="J4" s="2"/>
    </row>
    <row r="5" spans="1:10" ht="15" thickBot="1" x14ac:dyDescent="0.4">
      <c r="A5" s="1">
        <v>46.9</v>
      </c>
      <c r="B5" s="1">
        <v>39.5</v>
      </c>
      <c r="D5" s="1" t="s">
        <v>3</v>
      </c>
      <c r="E5" s="1">
        <f>MEDIAN(A2:A51)</f>
        <v>80.7</v>
      </c>
      <c r="F5" s="1">
        <f>MEDIAN(B2:B51)</f>
        <v>56.65</v>
      </c>
      <c r="H5" s="3" t="s">
        <v>13</v>
      </c>
      <c r="I5" s="3">
        <v>0.99833090972220873</v>
      </c>
      <c r="J5" s="3">
        <v>1</v>
      </c>
    </row>
    <row r="6" spans="1:10" ht="15" thickBot="1" x14ac:dyDescent="0.4">
      <c r="A6" s="1">
        <v>48.1</v>
      </c>
      <c r="B6" s="1">
        <v>40.200000000000003</v>
      </c>
      <c r="D6" s="1" t="s">
        <v>11</v>
      </c>
      <c r="E6" s="1">
        <f>STDEV(A2:A51)</f>
        <v>23.490965892688013</v>
      </c>
      <c r="F6" s="1">
        <f>STDEV(B2:B51)</f>
        <v>12.115239854608511</v>
      </c>
    </row>
    <row r="7" spans="1:10" ht="15" thickBot="1" x14ac:dyDescent="0.4">
      <c r="A7" s="1">
        <v>49.5</v>
      </c>
      <c r="B7" s="1">
        <v>41.1</v>
      </c>
      <c r="D7" s="1" t="s">
        <v>4</v>
      </c>
      <c r="E7" s="1">
        <f>VAR(A2:A51)</f>
        <v>551.82547857143152</v>
      </c>
      <c r="F7" s="1">
        <f>VAR(B2:B51)</f>
        <v>146.77903673469447</v>
      </c>
      <c r="H7" t="s">
        <v>39</v>
      </c>
    </row>
    <row r="8" spans="1:10" ht="15" thickBot="1" x14ac:dyDescent="0.4">
      <c r="A8" s="1">
        <v>51.2</v>
      </c>
      <c r="B8" s="1">
        <v>40.799999999999997</v>
      </c>
      <c r="D8" s="1" t="s">
        <v>5</v>
      </c>
      <c r="E8" s="1">
        <f>MIN(A2:A51)</f>
        <v>42.15</v>
      </c>
      <c r="F8" s="1">
        <f>MIN(B2:B51)</f>
        <v>36.5</v>
      </c>
      <c r="H8" t="s">
        <v>14</v>
      </c>
    </row>
    <row r="9" spans="1:10" ht="15" thickBot="1" x14ac:dyDescent="0.4">
      <c r="A9" s="1">
        <v>52.8</v>
      </c>
      <c r="B9" s="1">
        <v>43.5</v>
      </c>
      <c r="D9" s="1" t="s">
        <v>6</v>
      </c>
      <c r="E9" s="1">
        <f>MAX(A2:A51)</f>
        <v>120.7</v>
      </c>
      <c r="F9" s="1">
        <f>MAX(B2:B51)</f>
        <v>77.900000000000006</v>
      </c>
    </row>
    <row r="10" spans="1:10" ht="15" thickBot="1" x14ac:dyDescent="0.4">
      <c r="A10" s="1">
        <v>54.1</v>
      </c>
      <c r="B10" s="1">
        <v>42.9</v>
      </c>
      <c r="H10" s="5" t="s">
        <v>15</v>
      </c>
      <c r="I10" s="5"/>
    </row>
    <row r="11" spans="1:10" ht="15" thickBot="1" x14ac:dyDescent="0.4">
      <c r="A11" s="1">
        <v>55.9</v>
      </c>
      <c r="B11" s="1">
        <v>44.1</v>
      </c>
      <c r="H11" s="2" t="s">
        <v>16</v>
      </c>
      <c r="I11" s="2">
        <v>0.9983309097222085</v>
      </c>
    </row>
    <row r="12" spans="1:10" ht="15" thickBot="1" x14ac:dyDescent="0.4">
      <c r="A12" s="1">
        <v>57.3</v>
      </c>
      <c r="B12" s="1">
        <v>45.8</v>
      </c>
      <c r="H12" s="2" t="s">
        <v>17</v>
      </c>
      <c r="I12" s="8">
        <v>0.99666460530677237</v>
      </c>
    </row>
    <row r="13" spans="1:10" ht="15" thickBot="1" x14ac:dyDescent="0.4">
      <c r="A13" s="1">
        <v>59</v>
      </c>
      <c r="B13" s="1">
        <v>46.2</v>
      </c>
      <c r="H13" s="2" t="s">
        <v>18</v>
      </c>
      <c r="I13" s="2">
        <v>0.99659511791733013</v>
      </c>
    </row>
    <row r="14" spans="1:10" ht="15" thickBot="1" x14ac:dyDescent="0.4">
      <c r="A14" s="1">
        <v>60.4</v>
      </c>
      <c r="B14" s="1">
        <v>44.9</v>
      </c>
      <c r="H14" s="2" t="s">
        <v>19</v>
      </c>
      <c r="I14" s="2">
        <v>0.70694081243729134</v>
      </c>
    </row>
    <row r="15" spans="1:10" ht="15" thickBot="1" x14ac:dyDescent="0.4">
      <c r="A15" s="1">
        <v>62.1</v>
      </c>
      <c r="B15" s="1">
        <v>47.5</v>
      </c>
      <c r="H15" s="3" t="s">
        <v>20</v>
      </c>
      <c r="I15" s="3">
        <v>50</v>
      </c>
    </row>
    <row r="16" spans="1:10" ht="15" thickBot="1" x14ac:dyDescent="0.4">
      <c r="A16" s="1">
        <v>63.8</v>
      </c>
      <c r="B16" s="1">
        <v>48.1</v>
      </c>
    </row>
    <row r="17" spans="1:16" ht="15" thickBot="1" x14ac:dyDescent="0.4">
      <c r="A17" s="1">
        <v>65.2</v>
      </c>
      <c r="B17" s="1">
        <v>49.3</v>
      </c>
      <c r="H17" t="s">
        <v>21</v>
      </c>
    </row>
    <row r="18" spans="1:16" ht="15" thickBot="1" x14ac:dyDescent="0.4">
      <c r="A18" s="1">
        <v>66.900000000000006</v>
      </c>
      <c r="B18" s="1">
        <v>48.8</v>
      </c>
      <c r="H18" s="4"/>
      <c r="I18" s="4" t="s">
        <v>26</v>
      </c>
      <c r="J18" s="4" t="s">
        <v>27</v>
      </c>
      <c r="K18" s="4" t="s">
        <v>28</v>
      </c>
      <c r="L18" s="4" t="s">
        <v>29</v>
      </c>
      <c r="M18" s="4" t="s">
        <v>30</v>
      </c>
    </row>
    <row r="19" spans="1:16" ht="15" thickBot="1" x14ac:dyDescent="0.4">
      <c r="A19" s="1">
        <v>68.5</v>
      </c>
      <c r="B19" s="1">
        <v>50.5</v>
      </c>
      <c r="H19" s="2" t="s">
        <v>22</v>
      </c>
      <c r="I19" s="2">
        <v>1</v>
      </c>
      <c r="J19" s="2">
        <v>7168.184065010103</v>
      </c>
      <c r="K19" s="2">
        <v>7168.184065010103</v>
      </c>
      <c r="L19" s="2">
        <v>14343.100428822498</v>
      </c>
      <c r="M19" s="2">
        <v>4.1237058379789139E-61</v>
      </c>
    </row>
    <row r="20" spans="1:16" ht="15" thickBot="1" x14ac:dyDescent="0.4">
      <c r="A20" s="1">
        <v>70.099999999999994</v>
      </c>
      <c r="B20" s="1">
        <v>51.2</v>
      </c>
      <c r="H20" s="2" t="s">
        <v>23</v>
      </c>
      <c r="I20" s="2">
        <v>48</v>
      </c>
      <c r="J20" s="2">
        <v>23.988734989895885</v>
      </c>
      <c r="K20" s="2">
        <v>0.49976531228949761</v>
      </c>
      <c r="L20" s="2"/>
      <c r="M20" s="2"/>
    </row>
    <row r="21" spans="1:16" ht="15" thickBot="1" x14ac:dyDescent="0.4">
      <c r="A21" s="1">
        <v>71.8</v>
      </c>
      <c r="B21" s="1">
        <v>52.9</v>
      </c>
      <c r="H21" s="3" t="s">
        <v>24</v>
      </c>
      <c r="I21" s="3">
        <v>49</v>
      </c>
      <c r="J21" s="3">
        <v>7192.1727999999994</v>
      </c>
      <c r="K21" s="3"/>
      <c r="L21" s="3"/>
      <c r="M21" s="3"/>
    </row>
    <row r="22" spans="1:16" ht="15" thickBot="1" x14ac:dyDescent="0.4">
      <c r="A22" s="1">
        <v>73.400000000000006</v>
      </c>
      <c r="B22" s="1">
        <v>50.8</v>
      </c>
    </row>
    <row r="23" spans="1:16" ht="15" thickBot="1" x14ac:dyDescent="0.4">
      <c r="A23" s="1">
        <v>75</v>
      </c>
      <c r="B23" s="1">
        <v>53.5</v>
      </c>
      <c r="H23" s="4"/>
      <c r="I23" s="4" t="s">
        <v>31</v>
      </c>
      <c r="J23" s="4" t="s">
        <v>19</v>
      </c>
      <c r="K23" s="4" t="s">
        <v>32</v>
      </c>
      <c r="L23" s="4" t="s">
        <v>33</v>
      </c>
      <c r="M23" s="4" t="s">
        <v>34</v>
      </c>
      <c r="N23" s="4" t="s">
        <v>35</v>
      </c>
      <c r="O23" s="4" t="s">
        <v>36</v>
      </c>
      <c r="P23" s="4" t="s">
        <v>37</v>
      </c>
    </row>
    <row r="24" spans="1:16" ht="15" thickBot="1" x14ac:dyDescent="0.4">
      <c r="A24" s="1">
        <v>76.5</v>
      </c>
      <c r="B24" s="1">
        <v>54.9</v>
      </c>
      <c r="H24" s="2" t="s">
        <v>25</v>
      </c>
      <c r="I24" s="8">
        <v>15.138876676125392</v>
      </c>
      <c r="J24" s="2">
        <v>0.36184934878611857</v>
      </c>
      <c r="K24" s="2">
        <v>41.837512564030227</v>
      </c>
      <c r="L24" s="8">
        <v>1.9830955525827763E-39</v>
      </c>
      <c r="M24" s="2">
        <v>14.411329798432329</v>
      </c>
      <c r="N24" s="2">
        <v>15.866423553818455</v>
      </c>
      <c r="O24" s="2">
        <v>14.411329798432329</v>
      </c>
      <c r="P24" s="2">
        <v>15.866423553818455</v>
      </c>
    </row>
    <row r="25" spans="1:16" ht="15" thickBot="1" x14ac:dyDescent="0.4">
      <c r="A25" s="1">
        <v>78.2</v>
      </c>
      <c r="B25" s="1">
        <v>55.1</v>
      </c>
      <c r="H25" s="3" t="s">
        <v>38</v>
      </c>
      <c r="I25" s="9">
        <v>0.51487957033383958</v>
      </c>
      <c r="J25" s="3">
        <v>4.29916526613895E-3</v>
      </c>
      <c r="K25" s="3">
        <v>119.76268379099771</v>
      </c>
      <c r="L25" s="3">
        <v>4.1237058379787965E-61</v>
      </c>
      <c r="M25" s="3">
        <v>0.50623551922096977</v>
      </c>
      <c r="N25" s="3">
        <v>0.52352362144670939</v>
      </c>
      <c r="O25" s="3">
        <v>0.50623551922096977</v>
      </c>
      <c r="P25" s="3">
        <v>0.52352362144670939</v>
      </c>
    </row>
    <row r="26" spans="1:16" ht="15" thickBot="1" x14ac:dyDescent="0.4">
      <c r="A26" s="1">
        <v>79.900000000000006</v>
      </c>
      <c r="B26" s="1">
        <v>56.5</v>
      </c>
    </row>
    <row r="27" spans="1:16" ht="15" thickBot="1" x14ac:dyDescent="0.4">
      <c r="A27" s="1">
        <v>81.5</v>
      </c>
      <c r="B27" s="1">
        <v>57.2</v>
      </c>
      <c r="D27" t="s">
        <v>41</v>
      </c>
    </row>
    <row r="28" spans="1:16" ht="15" thickBot="1" x14ac:dyDescent="0.4">
      <c r="A28" s="1">
        <v>83.1</v>
      </c>
      <c r="B28" s="1">
        <v>56.8</v>
      </c>
      <c r="D28">
        <f>PEARSON(A2:A51,B2:B51)</f>
        <v>0.99833090972220873</v>
      </c>
    </row>
    <row r="29" spans="1:16" ht="15" thickBot="1" x14ac:dyDescent="0.4">
      <c r="A29" s="1">
        <v>84.8</v>
      </c>
      <c r="B29" s="1">
        <v>58.9</v>
      </c>
    </row>
    <row r="30" spans="1:16" ht="15" thickBot="1" x14ac:dyDescent="0.4">
      <c r="A30" s="1">
        <v>86.4</v>
      </c>
      <c r="B30" s="1">
        <v>59.5</v>
      </c>
    </row>
    <row r="31" spans="1:16" ht="15" thickBot="1" x14ac:dyDescent="0.4">
      <c r="A31" s="1">
        <v>88</v>
      </c>
      <c r="B31" s="1">
        <v>60.1</v>
      </c>
    </row>
    <row r="32" spans="1:16" ht="15" thickBot="1" x14ac:dyDescent="0.4">
      <c r="A32" s="1">
        <v>89.6</v>
      </c>
      <c r="B32" s="1">
        <v>61.8</v>
      </c>
    </row>
    <row r="33" spans="1:2" ht="15" thickBot="1" x14ac:dyDescent="0.4">
      <c r="A33" s="1">
        <v>91.3</v>
      </c>
      <c r="B33" s="1">
        <v>62.5</v>
      </c>
    </row>
    <row r="34" spans="1:2" ht="15" thickBot="1" x14ac:dyDescent="0.4">
      <c r="A34" s="1">
        <v>92.9</v>
      </c>
      <c r="B34" s="1">
        <v>60.9</v>
      </c>
    </row>
    <row r="35" spans="1:2" ht="15" thickBot="1" x14ac:dyDescent="0.4">
      <c r="A35" s="1">
        <v>94.5</v>
      </c>
      <c r="B35" s="1">
        <v>63.8</v>
      </c>
    </row>
    <row r="36" spans="1:2" ht="15" thickBot="1" x14ac:dyDescent="0.4">
      <c r="A36" s="1">
        <v>96.2</v>
      </c>
      <c r="B36" s="1">
        <v>65.099999999999994</v>
      </c>
    </row>
    <row r="37" spans="1:2" ht="15" thickBot="1" x14ac:dyDescent="0.4">
      <c r="A37" s="1">
        <v>97.8</v>
      </c>
      <c r="B37" s="1">
        <v>64.5</v>
      </c>
    </row>
    <row r="38" spans="1:2" ht="15" thickBot="1" x14ac:dyDescent="0.4">
      <c r="A38" s="1">
        <v>99.4</v>
      </c>
      <c r="B38" s="1">
        <v>66.8</v>
      </c>
    </row>
    <row r="39" spans="1:2" ht="15" thickBot="1" x14ac:dyDescent="0.4">
      <c r="A39" s="1">
        <v>101.1</v>
      </c>
      <c r="B39" s="1">
        <v>67.2</v>
      </c>
    </row>
    <row r="40" spans="1:2" ht="15" thickBot="1" x14ac:dyDescent="0.4">
      <c r="A40" s="1">
        <v>102.7</v>
      </c>
      <c r="B40" s="1">
        <v>68.5</v>
      </c>
    </row>
    <row r="41" spans="1:2" ht="15" thickBot="1" x14ac:dyDescent="0.4">
      <c r="A41" s="1">
        <v>104.3</v>
      </c>
      <c r="B41" s="1">
        <v>69.099999999999994</v>
      </c>
    </row>
    <row r="42" spans="1:2" ht="15" thickBot="1" x14ac:dyDescent="0.4">
      <c r="A42" s="1">
        <v>106</v>
      </c>
      <c r="B42" s="1">
        <v>68.900000000000006</v>
      </c>
    </row>
    <row r="43" spans="1:2" ht="15" thickBot="1" x14ac:dyDescent="0.4">
      <c r="A43" s="1">
        <v>107.6</v>
      </c>
      <c r="B43" s="1">
        <v>70.5</v>
      </c>
    </row>
    <row r="44" spans="1:2" ht="15" thickBot="1" x14ac:dyDescent="0.4">
      <c r="A44" s="1">
        <v>109.2</v>
      </c>
      <c r="B44" s="1">
        <v>71.8</v>
      </c>
    </row>
    <row r="45" spans="1:2" ht="15" thickBot="1" x14ac:dyDescent="0.4">
      <c r="A45" s="1">
        <v>110.9</v>
      </c>
      <c r="B45" s="1">
        <v>72.099999999999994</v>
      </c>
    </row>
    <row r="46" spans="1:2" ht="15" thickBot="1" x14ac:dyDescent="0.4">
      <c r="A46" s="1">
        <v>112.5</v>
      </c>
      <c r="B46" s="1">
        <v>73.5</v>
      </c>
    </row>
    <row r="47" spans="1:2" ht="15" thickBot="1" x14ac:dyDescent="0.4">
      <c r="A47" s="1">
        <v>114.1</v>
      </c>
      <c r="B47" s="1">
        <v>74.2</v>
      </c>
    </row>
    <row r="48" spans="1:2" ht="15" thickBot="1" x14ac:dyDescent="0.4">
      <c r="A48" s="1">
        <v>115.8</v>
      </c>
      <c r="B48" s="1">
        <v>75.8</v>
      </c>
    </row>
    <row r="49" spans="1:2" ht="15" thickBot="1" x14ac:dyDescent="0.4">
      <c r="A49" s="1">
        <v>117.4</v>
      </c>
      <c r="B49" s="1">
        <v>74.900000000000006</v>
      </c>
    </row>
    <row r="50" spans="1:2" ht="15" thickBot="1" x14ac:dyDescent="0.4">
      <c r="A50" s="1">
        <v>119</v>
      </c>
      <c r="B50" s="1">
        <v>76.5</v>
      </c>
    </row>
    <row r="51" spans="1:2" ht="15" thickBot="1" x14ac:dyDescent="0.4">
      <c r="A51" s="1">
        <v>120.7</v>
      </c>
      <c r="B51" s="1">
        <v>77.900000000000006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2026-01-27T20:43:27Z</dcterms:created>
  <dcterms:modified xsi:type="dcterms:W3CDTF">2026-01-27T22:34:27Z</dcterms:modified>
</cp:coreProperties>
</file>