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"/>
    </mc:Choice>
  </mc:AlternateContent>
  <xr:revisionPtr revIDLastSave="0" documentId="13_ncr:1_{6CECB501-C40D-4641-916F-26A5A14715BC}" xr6:coauthVersionLast="47" xr6:coauthVersionMax="47" xr10:uidLastSave="{00000000-0000-0000-0000-000000000000}"/>
  <bookViews>
    <workbookView xWindow="-110" yWindow="-110" windowWidth="38620" windowHeight="21820" activeTab="6" xr2:uid="{CD100CA4-9712-4C91-A070-27B609E95C9E}"/>
  </bookViews>
  <sheets>
    <sheet name="Arkusz1" sheetId="1" r:id="rId1"/>
    <sheet name="Arkusz2" sheetId="2" r:id="rId2"/>
    <sheet name="Arkusz3" sheetId="3" r:id="rId3"/>
    <sheet name="Arkusz4" sheetId="4" r:id="rId4"/>
    <sheet name="Arkusz5" sheetId="5" r:id="rId5"/>
    <sheet name="Arkusz6" sheetId="6" r:id="rId6"/>
    <sheet name="Arkusz7" sheetId="7" r:id="rId7"/>
  </sheets>
  <definedNames>
    <definedName name="_xlchart.v1.0" hidden="1">Arkusz1!$C$9:$D$9</definedName>
    <definedName name="_xlchart.v1.1" hidden="1">Arkusz5!$A$2:$A$7</definedName>
    <definedName name="_xlchart.v1.2" hidden="1">Arkusz5!$B$2:$B$9</definedName>
    <definedName name="_xlchart.v1.3" hidden="1">Arkusz5!$M$22</definedName>
    <definedName name="_xlchart.v1.4" hidden="1">Arkusz6!$A$2:$A$7</definedName>
    <definedName name="_xlchart.v1.5" hidden="1">Arkusz6!$B$2:$B$7</definedName>
    <definedName name="_xlchart.v1.6" hidden="1">Arkusz6!$C$2:$C$7</definedName>
    <definedName name="_xlchart.v1.7" hidden="1">Arkusz6!$N$12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/>
  <c r="J5" i="7"/>
  <c r="J4" i="7"/>
  <c r="J3" i="7"/>
  <c r="J2" i="7"/>
  <c r="G3" i="7"/>
  <c r="F3" i="7"/>
  <c r="G2" i="7"/>
  <c r="F2" i="7"/>
  <c r="E2" i="4" l="1"/>
  <c r="G2" i="4"/>
  <c r="C2" i="4"/>
  <c r="E2" i="3"/>
  <c r="C2" i="3"/>
  <c r="A2" i="3"/>
  <c r="H3" i="2"/>
  <c r="H4" i="2"/>
  <c r="H5" i="2"/>
  <c r="H6" i="2"/>
  <c r="H7" i="2"/>
  <c r="H8" i="2"/>
  <c r="H9" i="2"/>
  <c r="H10" i="2"/>
  <c r="H11" i="2"/>
  <c r="H12" i="2"/>
  <c r="H2" i="2"/>
  <c r="A4" i="2"/>
  <c r="A10" i="2"/>
  <c r="A7" i="2"/>
  <c r="C6" i="1"/>
  <c r="E3" i="1"/>
  <c r="C3" i="1"/>
</calcChain>
</file>

<file path=xl/sharedStrings.xml><?xml version="1.0" encoding="utf-8"?>
<sst xmlns="http://schemas.openxmlformats.org/spreadsheetml/2006/main" count="85" uniqueCount="72">
  <si>
    <t>średnia</t>
  </si>
  <si>
    <t>odchylenie std.</t>
  </si>
  <si>
    <t>przedział ufności</t>
  </si>
  <si>
    <t xml:space="preserve"> Z 95% pewnością, prawdziwa średnia siła zrywająca dla całej partii mieści się w przedziale od 299,32 do 308,34 N</t>
  </si>
  <si>
    <t>Prawdopodobieństwo, że lek zadziała u dokładnie 8 pacjentów</t>
  </si>
  <si>
    <t>Prawdopodobieństwo, że lek zadziała u co najmniej 9 pacjentów.</t>
  </si>
  <si>
    <t>Prawdopodobieństwo, że lek zadziała u co najwyżej 7 pacjentów.</t>
  </si>
  <si>
    <t>liczba sukcesów</t>
  </si>
  <si>
    <t>P(X=k)</t>
  </si>
  <si>
    <t>&gt;1</t>
  </si>
  <si>
    <t>wariancja</t>
  </si>
  <si>
    <t>chi^2</t>
  </si>
  <si>
    <t>p-value</t>
  </si>
  <si>
    <t>p-value&lt;0.05</t>
  </si>
  <si>
    <t>odrzucamy H_0</t>
  </si>
  <si>
    <t>p-value&gt;0.05</t>
  </si>
  <si>
    <t>nie odrzucamy H_0</t>
  </si>
  <si>
    <t>Oznacza to, że na podstawie tej próbki nie możemy stwierdzić, że produkcja pipet narusza normy ISO. Proces uznajemy za stabilny.</t>
  </si>
  <si>
    <t>Materiał A</t>
  </si>
  <si>
    <t>Materiał B</t>
  </si>
  <si>
    <t>Test t: z dwiema próbami zakładający nierówne wariancje</t>
  </si>
  <si>
    <t>Zmienna 1</t>
  </si>
  <si>
    <t>Zmienna 2</t>
  </si>
  <si>
    <t>Średnia</t>
  </si>
  <si>
    <t>Wariancja</t>
  </si>
  <si>
    <t>Obserwacje</t>
  </si>
  <si>
    <t>Różnica średnich wg hipotezy</t>
  </si>
  <si>
    <t>df</t>
  </si>
  <si>
    <t>t Stat</t>
  </si>
  <si>
    <t>P(T&lt;=t) jednostronny</t>
  </si>
  <si>
    <t>Test T jednostronny</t>
  </si>
  <si>
    <t>P(T&lt;=t) dwustronny</t>
  </si>
  <si>
    <t>Test t dwustronny</t>
  </si>
  <si>
    <t>Istnieje statystycznie istotna różnica między materiałami.</t>
  </si>
  <si>
    <t>Mediana A = 107,5</t>
  </si>
  <si>
    <t>Mediana B = 97</t>
  </si>
  <si>
    <t>Pudełka nie nakładają się na siebie, są wyraźnie rozdzielone a pudełko A jest ponad pudełkiem B</t>
  </si>
  <si>
    <t>Materiał C</t>
  </si>
  <si>
    <t>Analiza wariancji: jednoczynnikowa</t>
  </si>
  <si>
    <t>PODSUMOWANIE</t>
  </si>
  <si>
    <t>Grupy</t>
  </si>
  <si>
    <t>Licznik</t>
  </si>
  <si>
    <t>Suma</t>
  </si>
  <si>
    <t>Kolumna 1</t>
  </si>
  <si>
    <t>Kolumna 2</t>
  </si>
  <si>
    <t>Kolumna 3</t>
  </si>
  <si>
    <t>ANALIZA WARIANCJI</t>
  </si>
  <si>
    <t>Źródło wariancji</t>
  </si>
  <si>
    <t>SS</t>
  </si>
  <si>
    <t>MS</t>
  </si>
  <si>
    <t>F</t>
  </si>
  <si>
    <t>Wartość-p</t>
  </si>
  <si>
    <t>Test F</t>
  </si>
  <si>
    <t>Pomiędzy grupami</t>
  </si>
  <si>
    <t>W obrębie grup</t>
  </si>
  <si>
    <t>Razem</t>
  </si>
  <si>
    <t>p-value &lt;0.05</t>
  </si>
  <si>
    <t>Mediana C = 118,5</t>
  </si>
  <si>
    <t>Pudełka nie nakładają się na siebie, a pudełko C znacznie</t>
  </si>
  <si>
    <t xml:space="preserve"> odstaje od pozostałych, zawiera widocznie większe wartości</t>
  </si>
  <si>
    <t>Ból głowy (Tak)</t>
  </si>
  <si>
    <t>Ból głowy (Nie)</t>
  </si>
  <si>
    <t>Lek A</t>
  </si>
  <si>
    <t>Placebo</t>
  </si>
  <si>
    <t xml:space="preserve">wartości oczekiwane (E) </t>
  </si>
  <si>
    <t>𝐸 𝑝𝑙𝑎𝑐𝑒𝑏𝑜, 𝑁𝑖𝑒 =</t>
  </si>
  <si>
    <t>𝐸 𝑝𝑙𝑎𝑐𝑒𝑏𝑜, 𝑇𝑎𝑘 =</t>
  </si>
  <si>
    <t>𝐸 𝑙𝑒𝑘 𝐴, 𝑁𝑖𝑒 =</t>
  </si>
  <si>
    <t>𝐸 𝑙𝑒𝑘 𝐴, 𝑇𝑎𝑘 =</t>
  </si>
  <si>
    <t>Istnieje statystycznie istotna różnica między lekiem a placebo</t>
  </si>
  <si>
    <t>lek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</si>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</sst>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2" borderId="0" xfId="0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Arkusz2!$G$2:$G$12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Arkusz2!$H$2:$H$12</c:f>
              <c:numCache>
                <c:formatCode>General</c:formatCode>
                <c:ptCount val="11"/>
                <c:pt idx="0">
                  <c:v>1.0240000000000004E-7</c:v>
                </c:pt>
                <c:pt idx="1">
                  <c:v>4.0959999999999935E-6</c:v>
                </c:pt>
                <c:pt idx="2">
                  <c:v>7.3727999999999861E-5</c:v>
                </c:pt>
                <c:pt idx="3">
                  <c:v>7.8643199999999815E-4</c:v>
                </c:pt>
                <c:pt idx="4">
                  <c:v>5.5050239999999894E-3</c:v>
                </c:pt>
                <c:pt idx="5">
                  <c:v>2.642411519999999E-2</c:v>
                </c:pt>
                <c:pt idx="6">
                  <c:v>8.8080383999999984E-2</c:v>
                </c:pt>
                <c:pt idx="7">
                  <c:v>0.20132659199999994</c:v>
                </c:pt>
                <c:pt idx="8">
                  <c:v>0.3019898880000001</c:v>
                </c:pt>
                <c:pt idx="9">
                  <c:v>0.26843545600000007</c:v>
                </c:pt>
                <c:pt idx="10">
                  <c:v>0.10737418240000005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F21-4B58-8E04-13F2DC856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74848"/>
        <c:axId val="1182471488"/>
      </c:barChart>
      <c:catAx>
        <c:axId val="11824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471488"/>
        <c:crosses val="autoZero"/>
        <c:auto val="1"/>
        <c:lblAlgn val="ctr"/>
        <c:lblOffset val="100"/>
        <c:noMultiLvlLbl val="0"/>
      </c:catAx>
      <c:valAx>
        <c:axId val="118247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4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Skumulowany</a:t>
            </a:r>
            <a:r>
              <a:rPr lang="pl-PL" baseline="0"/>
              <a:t> wykres kolumnowy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Arkusz7!$B$2:$B$3</c:f>
              <c:numCache>
                <c:formatCode>General</c:formatCode>
                <c:ptCount val="2"/>
                <c:pt idx="0">
                  <c:v>25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8-4849-A3AC-04DBF1492F32}"/>
            </c:ext>
          </c:extLst>
        </c:ser>
        <c:ser>
          <c:idx val="1"/>
          <c:order val="1"/>
          <c:tx>
            <c:v>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Arkusz7!$C$2:$C$3</c:f>
              <c:numCache>
                <c:formatCode>General</c:formatCode>
                <c:ptCount val="2"/>
                <c:pt idx="0">
                  <c:v>75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8-4849-A3AC-04DBF1492F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5646623"/>
        <c:axId val="255646143"/>
      </c:barChart>
      <c:catAx>
        <c:axId val="255646623"/>
        <c:scaling>
          <c:orientation val="minMax"/>
        </c:scaling>
        <c:delete val="1"/>
        <c:axPos val="b"/>
        <c:majorTickMark val="none"/>
        <c:minorTickMark val="none"/>
        <c:tickLblPos val="nextTo"/>
        <c:crossAx val="255646143"/>
        <c:crosses val="autoZero"/>
        <c:auto val="1"/>
        <c:lblAlgn val="ctr"/>
        <c:lblOffset val="100"/>
        <c:noMultiLvlLbl val="0"/>
      </c:catAx>
      <c:valAx>
        <c:axId val="25564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5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boxWhisker" uniqueId="{3B70AACA-7BC9-4095-9421-CC558B0F1FF6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</cx:chartData>
  <cx:chart>
    <cx:title pos="t" align="ctr" overlay="0">
      <cx:tx>
        <cx:txData>
          <cx:v>Wykres pudełkowy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</a:t>
          </a:r>
        </a:p>
      </cx:txPr>
    </cx:title>
    <cx:plotArea>
      <cx:plotAreaRegion>
        <cx:series layoutId="boxWhisker" uniqueId="{72C5891D-DCB0-4E9E-A2A8-46733590B2C7}">
          <cx:tx>
            <cx:txData>
              <cx:v>A</cx:v>
            </cx:txData>
          </cx:tx>
          <cx:dataId val="0"/>
          <cx:layoutPr>
            <cx:statistics quartileMethod="exclusive"/>
          </cx:layoutPr>
        </cx:series>
        <cx:series layoutId="boxWhisker" uniqueId="{00000002-BB6E-4EA4-A683-0D7E2068BC6C}">
          <cx:tx>
            <cx:txData>
              <cx:v>B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15" min="9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Wykres pudełkowy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</a:t>
          </a:r>
        </a:p>
      </cx:txPr>
    </cx:title>
    <cx:plotArea>
      <cx:plotAreaRegion>
        <cx:series layoutId="boxWhisker" uniqueId="{5B036A53-5910-4D4D-BD34-78F0AEAA2ED3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A48-468C-AC9F-DA9F784B06D0}">
          <cx:tx>
            <cx:txData>
              <cx:v>A</cx:v>
            </cx:txData>
          </cx:tx>
          <cx:dataId val="1"/>
          <cx:layoutPr>
            <cx:statistics quartileMethod="exclusive"/>
          </cx:layoutPr>
        </cx:series>
        <cx:series layoutId="boxWhisker" uniqueId="{00000002-4A48-468C-AC9F-DA9F784B06D0}">
          <cx:tx>
            <cx:txData>
              <cx:v>B</cx:v>
            </cx:txData>
          </cx:tx>
          <cx:dataId val="2"/>
          <cx:layoutPr>
            <cx:statistics quartileMethod="exclusive"/>
          </cx:layoutPr>
        </cx:series>
        <cx:series layoutId="boxWhisker" uniqueId="{00000003-4A48-468C-AC9F-DA9F784B06D0}">
          <cx:tx>
            <cx:txData>
              <cx:v>C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25" min="9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</xdr:colOff>
      <xdr:row>10</xdr:row>
      <xdr:rowOff>35718</xdr:rowOff>
    </xdr:from>
    <xdr:to>
      <xdr:col>9</xdr:col>
      <xdr:colOff>30955</xdr:colOff>
      <xdr:row>25</xdr:row>
      <xdr:rowOff>64293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3">
              <a:extLst>
                <a:ext uri="{FF2B5EF4-FFF2-40B4-BE49-F238E27FC236}">
                  <a16:creationId xmlns:a16="http://schemas.microsoft.com/office/drawing/2014/main" id="{0680375F-F53C-36B8-2570-9D6B055BD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343" y="1877218"/>
              <a:ext cx="4329112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330993</xdr:colOff>
      <xdr:row>12</xdr:row>
      <xdr:rowOff>152400</xdr:rowOff>
    </xdr:from>
    <xdr:to>
      <xdr:col>7</xdr:col>
      <xdr:colOff>54768</xdr:colOff>
      <xdr:row>28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50D5B85-2447-AFED-AF95-8940B4D09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373743</xdr:colOff>
      <xdr:row>13</xdr:row>
      <xdr:rowOff>143330</xdr:rowOff>
    </xdr:from>
    <xdr:to>
      <xdr:col>5</xdr:col>
      <xdr:colOff>460829</xdr:colOff>
      <xdr:row>28</xdr:row>
      <xdr:rowOff>110673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1675EBFA-5A2C-C2D9-06D8-C4997D8F0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743" y="2563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221342</xdr:colOff>
      <xdr:row>15</xdr:row>
      <xdr:rowOff>121558</xdr:rowOff>
    </xdr:from>
    <xdr:to>
      <xdr:col>6</xdr:col>
      <xdr:colOff>533399</xdr:colOff>
      <xdr:row>30</xdr:row>
      <xdr:rowOff>88901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70778F4B-EA0B-6020-5F8A-6F48AFD96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42" y="292644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386013</xdr:colOff>
      <xdr:row>9</xdr:row>
      <xdr:rowOff>93914</xdr:rowOff>
    </xdr:from>
    <xdr:to>
      <xdr:col>6</xdr:col>
      <xdr:colOff>492960</xdr:colOff>
      <xdr:row>24</xdr:row>
      <xdr:rowOff>79877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407B4F-D93E-4DCB-18F0-23F446850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E47E-F938-4F69-A9AF-E8F6BB15664B}">
  <dimension ref="A1:E12"/>
  <sheetViews>
    <sheetView workbookViewId="0">
      <selection activeCell="L17" sqref="L17"/>
    </sheetView>
  </sheetViews>
  <sheetFormatPr defaultRowHeight="14.5" x14ac:dyDescent="0.35"/>
  <cols>
    <col min="3" max="3" width="9.26953125" bestFit="1" customWidth="1"/>
  </cols>
  <sheetData>
    <row r="1" spans="1:5" x14ac:dyDescent="0.35">
      <c r="A1">
        <v>305</v>
      </c>
    </row>
    <row r="2" spans="1:5" x14ac:dyDescent="0.35">
      <c r="A2">
        <v>310</v>
      </c>
      <c r="C2" t="s">
        <v>0</v>
      </c>
      <c r="E2" t="s">
        <v>1</v>
      </c>
    </row>
    <row r="3" spans="1:5" x14ac:dyDescent="0.35">
      <c r="A3">
        <v>295</v>
      </c>
      <c r="C3" s="1">
        <f>SUM(A1:A12)/12</f>
        <v>303.83333333333331</v>
      </c>
      <c r="E3" s="1">
        <f>_xlfn.STDEV.S(A1:A12)</f>
        <v>7.0945988845975876</v>
      </c>
    </row>
    <row r="4" spans="1:5" x14ac:dyDescent="0.35">
      <c r="A4">
        <v>315</v>
      </c>
    </row>
    <row r="5" spans="1:5" x14ac:dyDescent="0.35">
      <c r="A5">
        <v>302</v>
      </c>
      <c r="C5" t="s">
        <v>2</v>
      </c>
    </row>
    <row r="6" spans="1:5" x14ac:dyDescent="0.35">
      <c r="A6">
        <v>298</v>
      </c>
      <c r="C6" s="1">
        <f>_xlfn.CONFIDENCE.T(0.05,E3,12)</f>
        <v>4.5076930750430737</v>
      </c>
    </row>
    <row r="7" spans="1:5" x14ac:dyDescent="0.35">
      <c r="A7">
        <v>307</v>
      </c>
    </row>
    <row r="8" spans="1:5" x14ac:dyDescent="0.35">
      <c r="A8">
        <v>300</v>
      </c>
      <c r="C8" t="s">
        <v>3</v>
      </c>
    </row>
    <row r="9" spans="1:5" x14ac:dyDescent="0.35">
      <c r="A9">
        <v>312</v>
      </c>
      <c r="C9">
        <v>299.32</v>
      </c>
      <c r="D9">
        <v>308.33999999999997</v>
      </c>
    </row>
    <row r="10" spans="1:5" x14ac:dyDescent="0.35">
      <c r="A10">
        <v>291</v>
      </c>
    </row>
    <row r="11" spans="1:5" x14ac:dyDescent="0.35">
      <c r="A11">
        <v>303</v>
      </c>
    </row>
    <row r="12" spans="1:5" x14ac:dyDescent="0.35">
      <c r="A12">
        <v>308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BE83-068A-4D79-8A0B-C3546C03F86F}">
  <dimension ref="A1:H12"/>
  <sheetViews>
    <sheetView workbookViewId="0">
      <selection activeCell="H22" sqref="H22"/>
    </sheetView>
  </sheetViews>
  <sheetFormatPr defaultRowHeight="14.5" x14ac:dyDescent="0.35"/>
  <cols>
    <col min="7" max="7" width="13.453125" bestFit="1" customWidth="1"/>
    <col min="8" max="8" width="9.7265625" bestFit="1" customWidth="1"/>
  </cols>
  <sheetData>
    <row r="1" spans="1:8" x14ac:dyDescent="0.35">
      <c r="A1">
        <v>0.8</v>
      </c>
      <c r="G1" t="s">
        <v>7</v>
      </c>
      <c r="H1" t="s">
        <v>8</v>
      </c>
    </row>
    <row r="2" spans="1:8" x14ac:dyDescent="0.35">
      <c r="G2">
        <v>0</v>
      </c>
      <c r="H2">
        <f>_xlfn.BINOM.DIST(G2,10,$A$1,FALSE)</f>
        <v>1.0240000000000004E-7</v>
      </c>
    </row>
    <row r="3" spans="1:8" x14ac:dyDescent="0.35">
      <c r="A3" t="s">
        <v>4</v>
      </c>
      <c r="G3">
        <v>1</v>
      </c>
      <c r="H3">
        <f t="shared" ref="H3:H12" si="0">_xlfn.BINOM.DIST(G3,10,$A$1,FALSE)</f>
        <v>4.0959999999999935E-6</v>
      </c>
    </row>
    <row r="4" spans="1:8" x14ac:dyDescent="0.35">
      <c r="A4" s="1">
        <f>_xlfn.BINOM.DIST(8,10,A1,FALSE)</f>
        <v>0.3019898880000001</v>
      </c>
      <c r="G4">
        <v>2</v>
      </c>
      <c r="H4">
        <f t="shared" si="0"/>
        <v>7.3727999999999861E-5</v>
      </c>
    </row>
    <row r="5" spans="1:8" x14ac:dyDescent="0.35">
      <c r="G5">
        <v>3</v>
      </c>
      <c r="H5">
        <f t="shared" si="0"/>
        <v>7.8643199999999815E-4</v>
      </c>
    </row>
    <row r="6" spans="1:8" x14ac:dyDescent="0.35">
      <c r="A6" t="s">
        <v>5</v>
      </c>
      <c r="G6">
        <v>4</v>
      </c>
      <c r="H6">
        <f t="shared" si="0"/>
        <v>5.5050239999999894E-3</v>
      </c>
    </row>
    <row r="7" spans="1:8" x14ac:dyDescent="0.35">
      <c r="A7" s="1">
        <f>_xlfn.BINOM.DIST(9,10,A1,FALSE)</f>
        <v>0.26843545600000007</v>
      </c>
      <c r="G7">
        <v>5</v>
      </c>
      <c r="H7">
        <f t="shared" si="0"/>
        <v>2.642411519999999E-2</v>
      </c>
    </row>
    <row r="8" spans="1:8" x14ac:dyDescent="0.35">
      <c r="G8">
        <v>6</v>
      </c>
      <c r="H8">
        <f t="shared" si="0"/>
        <v>8.8080383999999984E-2</v>
      </c>
    </row>
    <row r="9" spans="1:8" x14ac:dyDescent="0.35">
      <c r="A9" t="s">
        <v>6</v>
      </c>
      <c r="G9">
        <v>7</v>
      </c>
      <c r="H9">
        <f t="shared" si="0"/>
        <v>0.20132659199999994</v>
      </c>
    </row>
    <row r="10" spans="1:8" x14ac:dyDescent="0.35">
      <c r="A10" s="1">
        <f>_xlfn.BINOM.DIST(7,10,A1,FALSE)</f>
        <v>0.20132659199999994</v>
      </c>
      <c r="G10">
        <v>8</v>
      </c>
      <c r="H10">
        <f t="shared" si="0"/>
        <v>0.3019898880000001</v>
      </c>
    </row>
    <row r="11" spans="1:8" x14ac:dyDescent="0.35">
      <c r="G11">
        <v>9</v>
      </c>
      <c r="H11">
        <f t="shared" si="0"/>
        <v>0.26843545600000007</v>
      </c>
    </row>
    <row r="12" spans="1:8" x14ac:dyDescent="0.35">
      <c r="G12">
        <v>10</v>
      </c>
      <c r="H12">
        <f t="shared" si="0"/>
        <v>0.10737418240000005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184F-D94B-49FA-A969-0F099C27B0CA}">
  <dimension ref="A1:E2"/>
  <sheetViews>
    <sheetView zoomScale="175" zoomScaleNormal="175" workbookViewId="0">
      <selection activeCell="E13" sqref="E13"/>
    </sheetView>
  </sheetViews>
  <sheetFormatPr defaultRowHeight="14.5" x14ac:dyDescent="0.35"/>
  <sheetData>
    <row r="1" spans="1:5" x14ac:dyDescent="0.35">
      <c r="A1">
        <v>0</v>
      </c>
      <c r="C1">
        <v>5</v>
      </c>
      <c r="E1" t="s">
        <v>9</v>
      </c>
    </row>
    <row r="2" spans="1:5" x14ac:dyDescent="0.35">
      <c r="A2" s="1">
        <f>_xlfn.POISSON.DIST(0,3.5,FALSE)</f>
        <v>3.0197383422318501E-2</v>
      </c>
      <c r="B2" s="1"/>
      <c r="C2" s="1">
        <f>_xlfn.POISSON.DIST(5,3.5,FALSE)</f>
        <v>0.13216859978617371</v>
      </c>
      <c r="D2" s="1"/>
      <c r="E2" s="1">
        <f>1-_xlfn.POISSON.DIST(1,3.5,TRUE)</f>
        <v>0.86411177459956678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D999-CC0C-4B80-B288-9D6374A72F46}">
  <dimension ref="A1:H26"/>
  <sheetViews>
    <sheetView zoomScale="190" zoomScaleNormal="190" workbookViewId="0">
      <selection activeCell="F25" sqref="F25"/>
    </sheetView>
  </sheetViews>
  <sheetFormatPr defaultRowHeight="14.5" x14ac:dyDescent="0.35"/>
  <cols>
    <col min="7" max="7" width="11.81640625" bestFit="1" customWidth="1"/>
  </cols>
  <sheetData>
    <row r="1" spans="1:8" x14ac:dyDescent="0.35">
      <c r="C1" t="s">
        <v>10</v>
      </c>
      <c r="E1" t="s">
        <v>11</v>
      </c>
      <c r="G1" t="s">
        <v>12</v>
      </c>
    </row>
    <row r="2" spans="1:8" x14ac:dyDescent="0.35">
      <c r="A2">
        <v>100.1</v>
      </c>
      <c r="C2" s="1">
        <f>_xlfn.VAR.S(A2:A26)</f>
        <v>5.5233333333333239E-2</v>
      </c>
      <c r="E2">
        <f>(25-1)*(C2/0.04)</f>
        <v>33.139999999999944</v>
      </c>
      <c r="G2">
        <f>_xlfn.CHISQ.DIST.RT(E2,24)</f>
        <v>0.10115379147571692</v>
      </c>
    </row>
    <row r="3" spans="1:8" x14ac:dyDescent="0.35">
      <c r="A3">
        <v>100.3</v>
      </c>
    </row>
    <row r="4" spans="1:8" x14ac:dyDescent="0.35">
      <c r="A4">
        <v>99.8</v>
      </c>
      <c r="G4" t="s">
        <v>15</v>
      </c>
      <c r="H4" t="s">
        <v>16</v>
      </c>
    </row>
    <row r="5" spans="1:8" x14ac:dyDescent="0.35">
      <c r="A5">
        <v>100</v>
      </c>
    </row>
    <row r="6" spans="1:8" x14ac:dyDescent="0.35">
      <c r="A6">
        <v>99.7</v>
      </c>
      <c r="G6" t="s">
        <v>17</v>
      </c>
    </row>
    <row r="7" spans="1:8" x14ac:dyDescent="0.35">
      <c r="A7">
        <v>100.1</v>
      </c>
    </row>
    <row r="8" spans="1:8" x14ac:dyDescent="0.35">
      <c r="A8">
        <v>100.2</v>
      </c>
    </row>
    <row r="9" spans="1:8" x14ac:dyDescent="0.35">
      <c r="A9">
        <v>99.5</v>
      </c>
    </row>
    <row r="10" spans="1:8" x14ac:dyDescent="0.35">
      <c r="A10">
        <v>100</v>
      </c>
    </row>
    <row r="11" spans="1:8" x14ac:dyDescent="0.35">
      <c r="A11">
        <v>100.4</v>
      </c>
    </row>
    <row r="12" spans="1:8" x14ac:dyDescent="0.35">
      <c r="A12">
        <v>99.9</v>
      </c>
    </row>
    <row r="13" spans="1:8" x14ac:dyDescent="0.35">
      <c r="A13">
        <v>100.1</v>
      </c>
    </row>
    <row r="14" spans="1:8" x14ac:dyDescent="0.35">
      <c r="A14">
        <v>99.7</v>
      </c>
    </row>
    <row r="15" spans="1:8" x14ac:dyDescent="0.35">
      <c r="A15">
        <v>99.8</v>
      </c>
    </row>
    <row r="16" spans="1:8" x14ac:dyDescent="0.35">
      <c r="A16">
        <v>100.2</v>
      </c>
    </row>
    <row r="17" spans="1:1" x14ac:dyDescent="0.35">
      <c r="A17">
        <v>99.6</v>
      </c>
    </row>
    <row r="18" spans="1:1" x14ac:dyDescent="0.35">
      <c r="A18">
        <v>100.3</v>
      </c>
    </row>
    <row r="19" spans="1:1" x14ac:dyDescent="0.35">
      <c r="A19">
        <v>100.1</v>
      </c>
    </row>
    <row r="20" spans="1:1" x14ac:dyDescent="0.35">
      <c r="A20">
        <v>99.9</v>
      </c>
    </row>
    <row r="21" spans="1:1" x14ac:dyDescent="0.35">
      <c r="A21">
        <v>100</v>
      </c>
    </row>
    <row r="22" spans="1:1" x14ac:dyDescent="0.35">
      <c r="A22">
        <v>99.8</v>
      </c>
    </row>
    <row r="23" spans="1:1" x14ac:dyDescent="0.35">
      <c r="A23">
        <v>100.2</v>
      </c>
    </row>
    <row r="24" spans="1:1" x14ac:dyDescent="0.35">
      <c r="A24">
        <v>99.7</v>
      </c>
    </row>
    <row r="25" spans="1:1" x14ac:dyDescent="0.35">
      <c r="A25">
        <v>100.1</v>
      </c>
    </row>
    <row r="26" spans="1:1" x14ac:dyDescent="0.35">
      <c r="A26">
        <v>99.9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F5C2-42F0-4BDE-89F1-252C8B814972}">
  <dimension ref="A1:H13"/>
  <sheetViews>
    <sheetView zoomScale="175" zoomScaleNormal="175" workbookViewId="0">
      <selection activeCell="J17" sqref="J17"/>
    </sheetView>
  </sheetViews>
  <sheetFormatPr defaultRowHeight="14.5" x14ac:dyDescent="0.35"/>
  <cols>
    <col min="4" max="4" width="29.26953125" customWidth="1"/>
  </cols>
  <sheetData>
    <row r="1" spans="1:8" x14ac:dyDescent="0.35">
      <c r="A1" t="s">
        <v>18</v>
      </c>
      <c r="B1" t="s">
        <v>19</v>
      </c>
      <c r="D1" t="s">
        <v>20</v>
      </c>
    </row>
    <row r="2" spans="1:8" ht="15" thickBot="1" x14ac:dyDescent="0.4">
      <c r="A2">
        <v>105</v>
      </c>
      <c r="B2">
        <v>95</v>
      </c>
      <c r="H2" t="s">
        <v>13</v>
      </c>
    </row>
    <row r="3" spans="1:8" x14ac:dyDescent="0.35">
      <c r="A3">
        <v>110</v>
      </c>
      <c r="B3">
        <v>101</v>
      </c>
      <c r="D3" s="4"/>
      <c r="E3" s="4" t="s">
        <v>21</v>
      </c>
      <c r="F3" s="4" t="s">
        <v>22</v>
      </c>
      <c r="H3" t="s">
        <v>14</v>
      </c>
    </row>
    <row r="4" spans="1:8" x14ac:dyDescent="0.35">
      <c r="A4">
        <v>103</v>
      </c>
      <c r="B4">
        <v>98</v>
      </c>
      <c r="D4" s="2" t="s">
        <v>23</v>
      </c>
      <c r="E4" s="2">
        <v>107.5</v>
      </c>
      <c r="F4" s="2">
        <v>97</v>
      </c>
      <c r="H4" t="s">
        <v>33</v>
      </c>
    </row>
    <row r="5" spans="1:8" x14ac:dyDescent="0.35">
      <c r="A5">
        <v>108</v>
      </c>
      <c r="B5">
        <v>93</v>
      </c>
      <c r="D5" s="2" t="s">
        <v>24</v>
      </c>
      <c r="E5" s="2">
        <v>10.7</v>
      </c>
      <c r="F5" s="2">
        <v>8.5714285714285712</v>
      </c>
    </row>
    <row r="6" spans="1:8" x14ac:dyDescent="0.35">
      <c r="A6">
        <v>112</v>
      </c>
      <c r="B6">
        <v>100</v>
      </c>
      <c r="D6" s="2" t="s">
        <v>25</v>
      </c>
      <c r="E6" s="2">
        <v>6</v>
      </c>
      <c r="F6" s="2">
        <v>8</v>
      </c>
      <c r="H6" t="s">
        <v>36</v>
      </c>
    </row>
    <row r="7" spans="1:8" x14ac:dyDescent="0.35">
      <c r="A7">
        <v>107</v>
      </c>
      <c r="B7">
        <v>96</v>
      </c>
      <c r="D7" s="2" t="s">
        <v>26</v>
      </c>
      <c r="E7" s="2">
        <v>0</v>
      </c>
      <c r="F7" s="2"/>
    </row>
    <row r="8" spans="1:8" x14ac:dyDescent="0.35">
      <c r="B8">
        <v>99</v>
      </c>
      <c r="D8" s="2" t="s">
        <v>27</v>
      </c>
      <c r="E8" s="2">
        <v>10</v>
      </c>
      <c r="F8" s="2"/>
      <c r="H8" t="s">
        <v>34</v>
      </c>
    </row>
    <row r="9" spans="1:8" x14ac:dyDescent="0.35">
      <c r="B9">
        <v>94</v>
      </c>
      <c r="D9" s="2" t="s">
        <v>28</v>
      </c>
      <c r="E9" s="2">
        <v>6.214473675961977</v>
      </c>
      <c r="F9" s="2"/>
      <c r="H9" t="s">
        <v>35</v>
      </c>
    </row>
    <row r="10" spans="1:8" x14ac:dyDescent="0.35">
      <c r="D10" s="2" t="s">
        <v>29</v>
      </c>
      <c r="E10" s="2">
        <v>4.9777141591067512E-5</v>
      </c>
      <c r="F10" s="2"/>
    </row>
    <row r="11" spans="1:8" x14ac:dyDescent="0.35">
      <c r="D11" s="2" t="s">
        <v>30</v>
      </c>
      <c r="E11" s="2">
        <v>1.812461122811676</v>
      </c>
      <c r="F11" s="2"/>
    </row>
    <row r="12" spans="1:8" x14ac:dyDescent="0.35">
      <c r="D12" s="2" t="s">
        <v>31</v>
      </c>
      <c r="E12" s="2">
        <v>9.9554283182135025E-5</v>
      </c>
      <c r="F12" s="2"/>
    </row>
    <row r="13" spans="1:8" ht="15" thickBot="1" x14ac:dyDescent="0.4">
      <c r="D13" s="3" t="s">
        <v>32</v>
      </c>
      <c r="E13" s="3">
        <v>2.2281388519862744</v>
      </c>
      <c r="F13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7B85-1618-41A4-A2E1-FCB4B1D44422}">
  <dimension ref="A1:M15"/>
  <sheetViews>
    <sheetView zoomScale="175" zoomScaleNormal="175" workbookViewId="0">
      <selection activeCell="M4" sqref="M4"/>
    </sheetView>
  </sheetViews>
  <sheetFormatPr defaultRowHeight="14.5" x14ac:dyDescent="0.35"/>
  <cols>
    <col min="5" max="5" width="17.36328125" customWidth="1"/>
  </cols>
  <sheetData>
    <row r="1" spans="1:13" x14ac:dyDescent="0.35">
      <c r="A1" t="s">
        <v>18</v>
      </c>
      <c r="B1" t="s">
        <v>19</v>
      </c>
      <c r="C1" t="s">
        <v>37</v>
      </c>
      <c r="E1" t="s">
        <v>38</v>
      </c>
    </row>
    <row r="2" spans="1:13" x14ac:dyDescent="0.35">
      <c r="A2">
        <v>105</v>
      </c>
      <c r="B2">
        <v>95</v>
      </c>
      <c r="C2">
        <v>115</v>
      </c>
      <c r="M2" t="s">
        <v>56</v>
      </c>
    </row>
    <row r="3" spans="1:13" ht="15" thickBot="1" x14ac:dyDescent="0.4">
      <c r="A3">
        <v>110</v>
      </c>
      <c r="B3">
        <v>101</v>
      </c>
      <c r="C3">
        <v>120</v>
      </c>
      <c r="E3" t="s">
        <v>39</v>
      </c>
      <c r="M3" t="s">
        <v>14</v>
      </c>
    </row>
    <row r="4" spans="1:13" x14ac:dyDescent="0.35">
      <c r="A4">
        <v>103</v>
      </c>
      <c r="B4">
        <v>98</v>
      </c>
      <c r="C4">
        <v>118</v>
      </c>
      <c r="E4" s="4" t="s">
        <v>40</v>
      </c>
      <c r="F4" s="4" t="s">
        <v>41</v>
      </c>
      <c r="G4" s="4" t="s">
        <v>42</v>
      </c>
      <c r="H4" s="4" t="s">
        <v>23</v>
      </c>
      <c r="I4" s="4" t="s">
        <v>24</v>
      </c>
      <c r="M4" t="s">
        <v>33</v>
      </c>
    </row>
    <row r="5" spans="1:13" x14ac:dyDescent="0.35">
      <c r="A5">
        <v>108</v>
      </c>
      <c r="B5">
        <v>93</v>
      </c>
      <c r="C5">
        <v>122</v>
      </c>
      <c r="E5" s="2" t="s">
        <v>43</v>
      </c>
      <c r="F5" s="2">
        <v>6</v>
      </c>
      <c r="G5" s="2">
        <v>645</v>
      </c>
      <c r="H5" s="2">
        <v>107.5</v>
      </c>
      <c r="I5" s="2">
        <v>10.7</v>
      </c>
    </row>
    <row r="6" spans="1:13" x14ac:dyDescent="0.35">
      <c r="A6">
        <v>112</v>
      </c>
      <c r="B6">
        <v>100</v>
      </c>
      <c r="C6">
        <v>117</v>
      </c>
      <c r="E6" s="2" t="s">
        <v>44</v>
      </c>
      <c r="F6" s="2">
        <v>6</v>
      </c>
      <c r="G6" s="2">
        <v>583</v>
      </c>
      <c r="H6" s="2">
        <v>97.166666666666671</v>
      </c>
      <c r="I6" s="2">
        <v>9.3666666666666654</v>
      </c>
      <c r="M6" t="s">
        <v>34</v>
      </c>
    </row>
    <row r="7" spans="1:13" ht="15" thickBot="1" x14ac:dyDescent="0.4">
      <c r="A7">
        <v>107</v>
      </c>
      <c r="B7">
        <v>96</v>
      </c>
      <c r="C7">
        <v>119</v>
      </c>
      <c r="E7" s="3" t="s">
        <v>45</v>
      </c>
      <c r="F7" s="3">
        <v>6</v>
      </c>
      <c r="G7" s="3">
        <v>711</v>
      </c>
      <c r="H7" s="3">
        <v>118.5</v>
      </c>
      <c r="I7" s="3">
        <v>5.9</v>
      </c>
      <c r="M7" t="s">
        <v>35</v>
      </c>
    </row>
    <row r="8" spans="1:13" x14ac:dyDescent="0.35">
      <c r="M8" t="s">
        <v>57</v>
      </c>
    </row>
    <row r="10" spans="1:13" ht="15" thickBot="1" x14ac:dyDescent="0.4">
      <c r="E10" t="s">
        <v>46</v>
      </c>
      <c r="M10" t="s">
        <v>58</v>
      </c>
    </row>
    <row r="11" spans="1:13" x14ac:dyDescent="0.35">
      <c r="E11" s="4" t="s">
        <v>47</v>
      </c>
      <c r="F11" s="4" t="s">
        <v>48</v>
      </c>
      <c r="G11" s="4" t="s">
        <v>27</v>
      </c>
      <c r="H11" s="4" t="s">
        <v>49</v>
      </c>
      <c r="I11" s="4" t="s">
        <v>50</v>
      </c>
      <c r="J11" s="4" t="s">
        <v>51</v>
      </c>
      <c r="K11" s="4" t="s">
        <v>52</v>
      </c>
      <c r="M11" t="s">
        <v>59</v>
      </c>
    </row>
    <row r="12" spans="1:13" x14ac:dyDescent="0.35">
      <c r="E12" s="2" t="s">
        <v>53</v>
      </c>
      <c r="F12" s="2">
        <v>1365.7777777777781</v>
      </c>
      <c r="G12" s="2">
        <v>2</v>
      </c>
      <c r="H12" s="2">
        <v>682.88888888888903</v>
      </c>
      <c r="I12" s="5">
        <v>78.896020539152786</v>
      </c>
      <c r="J12" s="5">
        <v>1.0946024923870223E-8</v>
      </c>
      <c r="K12" s="2">
        <v>3.6823203436732408</v>
      </c>
    </row>
    <row r="13" spans="1:13" x14ac:dyDescent="0.35">
      <c r="E13" s="2" t="s">
        <v>54</v>
      </c>
      <c r="F13" s="2">
        <v>129.83333333333331</v>
      </c>
      <c r="G13" s="2">
        <v>15</v>
      </c>
      <c r="H13" s="2">
        <v>8.655555555555555</v>
      </c>
      <c r="I13" s="2"/>
      <c r="J13" s="2"/>
      <c r="K13" s="2"/>
    </row>
    <row r="14" spans="1:13" x14ac:dyDescent="0.35">
      <c r="E14" s="2"/>
      <c r="F14" s="2"/>
      <c r="G14" s="2"/>
      <c r="H14" s="2"/>
      <c r="I14" s="2"/>
      <c r="J14" s="2"/>
      <c r="K14" s="2"/>
    </row>
    <row r="15" spans="1:13" ht="15" thickBot="1" x14ac:dyDescent="0.4">
      <c r="E15" s="3" t="s">
        <v>55</v>
      </c>
      <c r="F15" s="3">
        <v>1495.6111111111113</v>
      </c>
      <c r="G15" s="3">
        <v>17</v>
      </c>
      <c r="H15" s="3"/>
      <c r="I15" s="3"/>
      <c r="J15" s="3"/>
      <c r="K1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436-D48F-48F4-82E8-5C2C117A5E0F}">
  <dimension ref="A1:J26"/>
  <sheetViews>
    <sheetView tabSelected="1" zoomScale="190" zoomScaleNormal="190" workbookViewId="0">
      <selection activeCell="K9" sqref="K9"/>
    </sheetView>
  </sheetViews>
  <sheetFormatPr defaultRowHeight="14.5" x14ac:dyDescent="0.35"/>
  <cols>
    <col min="2" max="3" width="12.6328125" bestFit="1" customWidth="1"/>
    <col min="4" max="4" width="12.54296875" bestFit="1" customWidth="1"/>
    <col min="9" max="9" width="15.08984375" bestFit="1" customWidth="1"/>
  </cols>
  <sheetData>
    <row r="1" spans="1:10" x14ac:dyDescent="0.35">
      <c r="B1" t="s">
        <v>60</v>
      </c>
      <c r="C1" t="s">
        <v>61</v>
      </c>
      <c r="D1" t="s">
        <v>55</v>
      </c>
      <c r="F1" t="s">
        <v>64</v>
      </c>
    </row>
    <row r="2" spans="1:10" x14ac:dyDescent="0.35">
      <c r="A2" t="s">
        <v>62</v>
      </c>
      <c r="B2">
        <v>25</v>
      </c>
      <c r="C2">
        <v>75</v>
      </c>
      <c r="D2">
        <v>100</v>
      </c>
      <c r="F2">
        <f>D2*B4/D4</f>
        <v>17.5</v>
      </c>
      <c r="G2">
        <f>D2*C4/D4</f>
        <v>82.5</v>
      </c>
      <c r="I2" t="s">
        <v>68</v>
      </c>
      <c r="J2">
        <f>F2</f>
        <v>17.5</v>
      </c>
    </row>
    <row r="3" spans="1:10" x14ac:dyDescent="0.35">
      <c r="A3" t="s">
        <v>63</v>
      </c>
      <c r="B3">
        <v>10</v>
      </c>
      <c r="C3">
        <v>90</v>
      </c>
      <c r="D3">
        <v>100</v>
      </c>
      <c r="F3">
        <f>D3*B4/D4</f>
        <v>17.5</v>
      </c>
      <c r="G3">
        <f>D3*C4/D4</f>
        <v>82.5</v>
      </c>
      <c r="I3" t="s">
        <v>67</v>
      </c>
      <c r="J3">
        <f>G2</f>
        <v>82.5</v>
      </c>
    </row>
    <row r="4" spans="1:10" x14ac:dyDescent="0.35">
      <c r="A4" t="s">
        <v>55</v>
      </c>
      <c r="B4">
        <v>35</v>
      </c>
      <c r="C4">
        <v>165</v>
      </c>
      <c r="D4">
        <v>200</v>
      </c>
      <c r="I4" t="s">
        <v>66</v>
      </c>
      <c r="J4">
        <f>F3</f>
        <v>17.5</v>
      </c>
    </row>
    <row r="5" spans="1:10" x14ac:dyDescent="0.35">
      <c r="I5" t="s">
        <v>65</v>
      </c>
      <c r="J5">
        <f>G3</f>
        <v>82.5</v>
      </c>
    </row>
    <row r="6" spans="1:10" x14ac:dyDescent="0.35">
      <c r="A6" t="s">
        <v>12</v>
      </c>
    </row>
    <row r="7" spans="1:10" x14ac:dyDescent="0.35">
      <c r="A7">
        <f>CHITEST(B2:C3,F2:G3)</f>
        <v>5.2472037391156374E-3</v>
      </c>
      <c r="C7" t="s">
        <v>13</v>
      </c>
    </row>
    <row r="8" spans="1:10" x14ac:dyDescent="0.35">
      <c r="C8" t="s">
        <v>69</v>
      </c>
    </row>
    <row r="26" spans="3:5" x14ac:dyDescent="0.35">
      <c r="C26" t="s">
        <v>70</v>
      </c>
      <c r="E26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Arkusz1</vt:lpstr>
      <vt:lpstr>Arkusz2</vt:lpstr>
      <vt:lpstr>Arkusz3</vt:lpstr>
      <vt:lpstr>Arkusz4</vt:lpstr>
      <vt:lpstr>Arkusz5</vt:lpstr>
      <vt:lpstr>Arkusz6</vt:lpstr>
      <vt:lpstr>Arkusz7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2026-01-14T12:20:38Z</dcterms:created>
  <dcterms:modified xsi:type="dcterms:W3CDTF">2026-01-27T20:31:44Z</dcterms:modified>
</cp:coreProperties>
</file>