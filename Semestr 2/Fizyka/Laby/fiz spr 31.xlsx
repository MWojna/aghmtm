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2\Fizyka\"/>
    </mc:Choice>
  </mc:AlternateContent>
  <xr:revisionPtr revIDLastSave="0" documentId="13_ncr:1_{F61DE972-0257-466C-A09A-D42E926B4F51}" xr6:coauthVersionLast="47" xr6:coauthVersionMax="47" xr10:uidLastSave="{00000000-0000-0000-0000-000000000000}"/>
  <bookViews>
    <workbookView xWindow="12257" yWindow="0" windowWidth="12514" windowHeight="7800" xr2:uid="{4E3BE6D8-0824-4052-9AAE-8564930C3CE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 a="1"/>
  <c r="K22" i="1" s="1"/>
  <c r="K21" i="1" a="1"/>
  <c r="K21" i="1" s="1"/>
  <c r="K19" i="1" a="1"/>
  <c r="K19" i="1" s="1"/>
  <c r="K18" i="1" a="1"/>
  <c r="K18" i="1" s="1"/>
  <c r="G20" i="1"/>
  <c r="G21" i="1"/>
  <c r="G22" i="1"/>
  <c r="G23" i="1"/>
  <c r="G24" i="1"/>
  <c r="G25" i="1"/>
  <c r="G26" i="1"/>
  <c r="G27" i="1"/>
  <c r="G19" i="1"/>
  <c r="H27" i="1"/>
  <c r="H26" i="1"/>
  <c r="H25" i="1"/>
  <c r="H24" i="1"/>
  <c r="H23" i="1"/>
  <c r="H22" i="1"/>
  <c r="H21" i="1"/>
  <c r="H20" i="1"/>
  <c r="H19" i="1"/>
  <c r="G11" i="1"/>
  <c r="D45" i="1"/>
  <c r="D40" i="1"/>
  <c r="D41" i="1"/>
  <c r="D42" i="1"/>
  <c r="D43" i="1"/>
  <c r="D44" i="1"/>
  <c r="D39" i="1"/>
  <c r="C45" i="1"/>
  <c r="C40" i="1"/>
  <c r="C41" i="1"/>
  <c r="C42" i="1"/>
  <c r="C43" i="1"/>
  <c r="C44" i="1"/>
  <c r="C39" i="1"/>
  <c r="D12" i="1"/>
  <c r="C16" i="1"/>
  <c r="C12" i="1"/>
  <c r="C13" i="1"/>
  <c r="C14" i="1"/>
  <c r="C15" i="1"/>
  <c r="C11" i="1"/>
  <c r="E11" i="1"/>
  <c r="E12" i="1"/>
  <c r="E13" i="1"/>
  <c r="E14" i="1"/>
  <c r="E15" i="1"/>
  <c r="E16" i="1"/>
  <c r="H39" i="1"/>
  <c r="E40" i="1"/>
  <c r="E41" i="1"/>
  <c r="E42" i="1"/>
  <c r="E43" i="1"/>
  <c r="E44" i="1"/>
  <c r="E45" i="1"/>
  <c r="E39" i="1"/>
  <c r="G4" i="1"/>
  <c r="D11" i="1" s="1"/>
  <c r="G5" i="1"/>
  <c r="G6" i="1"/>
  <c r="D13" i="1" s="1"/>
  <c r="G7" i="1"/>
  <c r="D14" i="1" s="1"/>
  <c r="G8" i="1"/>
  <c r="D16" i="1" s="1"/>
  <c r="G3" i="1"/>
  <c r="H4" i="1"/>
  <c r="H5" i="1"/>
  <c r="H6" i="1"/>
  <c r="H7" i="1"/>
  <c r="H8" i="1"/>
  <c r="H3" i="1"/>
  <c r="H31" i="1"/>
  <c r="H32" i="1"/>
  <c r="H40" i="1" s="1"/>
  <c r="H33" i="1"/>
  <c r="H41" i="1" s="1"/>
  <c r="H34" i="1"/>
  <c r="H42" i="1" s="1"/>
  <c r="H35" i="1"/>
  <c r="H43" i="1" s="1"/>
  <c r="H36" i="1"/>
  <c r="H44" i="1" s="1"/>
  <c r="H30" i="1"/>
  <c r="H38" i="1" s="1"/>
  <c r="G31" i="1"/>
  <c r="G32" i="1"/>
  <c r="G33" i="1"/>
  <c r="G34" i="1"/>
  <c r="G35" i="1"/>
  <c r="G36" i="1"/>
  <c r="G30" i="1"/>
  <c r="D1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<sst xmlns="http://schemas.openxmlformats.org/spreadsheetml/2006/main" count="36" uniqueCount="24">
  <si>
    <t>x[mm]</t>
  </si>
  <si>
    <t>V_a[V]</t>
  </si>
  <si>
    <t>V_b[V]</t>
  </si>
  <si>
    <t>V_c[V]</t>
  </si>
  <si>
    <t>V_dośw.[V]</t>
  </si>
  <si>
    <t>Wewnątrz</t>
  </si>
  <si>
    <t>płaski</t>
  </si>
  <si>
    <t>Zewnątrz</t>
  </si>
  <si>
    <t>22x3+6</t>
  </si>
  <si>
    <t>nr.</t>
  </si>
  <si>
    <t>V_teor.[V]</t>
  </si>
  <si>
    <t>cylindryczny</t>
  </si>
  <si>
    <t>r_w=20mm</t>
  </si>
  <si>
    <t>r[mm]</t>
  </si>
  <si>
    <t>r_z[mm]</t>
  </si>
  <si>
    <t>E_dośw.[V/m]</t>
  </si>
  <si>
    <t>E_teor.[V/m]</t>
  </si>
  <si>
    <t>E_x[V/m]</t>
  </si>
  <si>
    <t>E_y[V/m]</t>
  </si>
  <si>
    <t>|E|[V/m]</t>
  </si>
  <si>
    <t>Wsp. Wykr. V płaski</t>
  </si>
  <si>
    <t>Wsp. Wykr. E płaski</t>
  </si>
  <si>
    <t>Wsp. Wykr. V cylindr.</t>
  </si>
  <si>
    <t>Wsp. Wykr. E cylindr.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</si>
</sst>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2" xfId="0" applyFill="1" applyBorder="1"/>
    <xf numFmtId="0" fontId="0" fillId="0" borderId="4" xfId="0" applyBorder="1"/>
    <xf numFmtId="0" fontId="0" fillId="3" borderId="4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pomiar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Arkusz1!$C$30:$C$36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Arkusz1!$G$30:$G$36</c:f>
              <c:numCache>
                <c:formatCode>General</c:formatCode>
                <c:ptCount val="7"/>
                <c:pt idx="0">
                  <c:v>7.95</c:v>
                </c:pt>
                <c:pt idx="1">
                  <c:v>6.3066666666666675</c:v>
                </c:pt>
                <c:pt idx="2">
                  <c:v>5.1566666666666663</c:v>
                </c:pt>
                <c:pt idx="3">
                  <c:v>4.1133333333333333</c:v>
                </c:pt>
                <c:pt idx="4">
                  <c:v>3.2466666666666661</c:v>
                </c:pt>
                <c:pt idx="5">
                  <c:v>2.5066666666666668</c:v>
                </c:pt>
                <c:pt idx="6">
                  <c:v>1.8133333333333332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1A-4981-8513-6B458789663B}"/>
            </c:ext>
          </c:extLst>
        </c:ser>
        <c:ser>
          <c:idx val="1"/>
          <c:order val="1"/>
          <c:tx>
            <c:v>teoria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Arkusz1!$C$30:$C$36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Arkusz1!$H$38:$H$44</c:f>
              <c:numCache>
                <c:formatCode>General</c:formatCode>
                <c:ptCount val="7"/>
                <c:pt idx="0">
                  <c:v>7.5548290743052737</c:v>
                </c:pt>
                <c:pt idx="1">
                  <c:v>5.8199526932405776</c:v>
                </c:pt>
                <c:pt idx="2">
                  <c:v>4.4742780272364664</c:v>
                </c:pt>
                <c:pt idx="3">
                  <c:v>3.3747817675458518</c:v>
                </c:pt>
                <c:pt idx="4">
                  <c:v>2.4451709256947258</c:v>
                </c:pt>
                <c:pt idx="5">
                  <c:v>1.6399053864811548</c:v>
                </c:pt>
                <c:pt idx="6">
                  <c:v>0.92961084185112619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1A-4981-8513-6B4587896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524351"/>
        <c:axId val="1186511871"/>
      </c:scatterChart>
      <c:valAx>
        <c:axId val="118652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Odległość pomiaru od osi kondensatora cylindrycznego[mm]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6511871"/>
        <c:crosses val="autoZero"/>
        <c:crossBetween val="midCat"/>
      </c:valAx>
      <c:valAx>
        <c:axId val="118651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Napięcie[V]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6524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pomiar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Arkusz1!$C$3:$C$8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Arkusz1!$G$3:$G$8</c:f>
              <c:numCache>
                <c:formatCode>General</c:formatCode>
                <c:ptCount val="6"/>
                <c:pt idx="0">
                  <c:v>2.1233333333333331</c:v>
                </c:pt>
                <c:pt idx="1">
                  <c:v>3.16</c:v>
                </c:pt>
                <c:pt idx="2">
                  <c:v>4.3666666666666663</c:v>
                </c:pt>
                <c:pt idx="3">
                  <c:v>5.3466666666666667</c:v>
                </c:pt>
                <c:pt idx="4">
                  <c:v>6.416666666666667</c:v>
                </c:pt>
                <c:pt idx="5">
                  <c:v>7.3433333333333337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3-4F5A-AB24-DD7D2DEF1DE4}"/>
            </c:ext>
          </c:extLst>
        </c:ser>
        <c:ser>
          <c:idx val="1"/>
          <c:order val="1"/>
          <c:tx>
            <c:v>teoria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Arkusz1!$C$3:$C$8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Arkusz1!$H$3:$H$8</c:f>
              <c:numCache>
                <c:formatCode>General</c:formatCode>
                <c:ptCount val="6"/>
                <c:pt idx="0">
                  <c:v>2.2222222222222223</c:v>
                </c:pt>
                <c:pt idx="1">
                  <c:v>3.3333333333333335</c:v>
                </c:pt>
                <c:pt idx="2">
                  <c:v>4.4444444444444446</c:v>
                </c:pt>
                <c:pt idx="3">
                  <c:v>5.5555555555555554</c:v>
                </c:pt>
                <c:pt idx="4">
                  <c:v>6.666666666666667</c:v>
                </c:pt>
                <c:pt idx="5">
                  <c:v>7.7777777777777786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83-4F5A-AB24-DD7D2DEF1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555551"/>
        <c:axId val="1186549311"/>
      </c:scatterChart>
      <c:valAx>
        <c:axId val="118655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Odległość pomiaru od okładki</a:t>
                </a:r>
                <a:r>
                  <a:rPr lang="pl-PL" baseline="0"/>
                  <a:t> kondensatora płaskiego</a:t>
                </a:r>
                <a:r>
                  <a:rPr lang="pl-PL"/>
                  <a:t>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6549311"/>
        <c:crosses val="autoZero"/>
        <c:crossBetween val="midCat"/>
      </c:valAx>
      <c:valAx>
        <c:axId val="11865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Napięcie[V]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6555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pomiar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Arkusz1!$C$11:$C$16</c:f>
              <c:numCache>
                <c:formatCode>General</c:formatCode>
                <c:ptCount val="6"/>
                <c:pt idx="0">
                  <c:v>25</c:v>
                </c:pt>
                <c:pt idx="1">
                  <c:v>35</c:v>
                </c:pt>
                <c:pt idx="2">
                  <c:v>45</c:v>
                </c:pt>
                <c:pt idx="3">
                  <c:v>55</c:v>
                </c:pt>
                <c:pt idx="4">
                  <c:v>65</c:v>
                </c:pt>
                <c:pt idx="5">
                  <c:v>75</c:v>
                </c:pt>
              </c:numCache>
            </c:numRef>
          </c:xVal>
          <c:yVal>
            <c:numRef>
              <c:f>Arkusz1!$D$11:$D$16</c:f>
              <c:numCache>
                <c:formatCode>General</c:formatCode>
                <c:ptCount val="6"/>
                <c:pt idx="0">
                  <c:v>103.66666666666673</c:v>
                </c:pt>
                <c:pt idx="1">
                  <c:v>120.66666666666659</c:v>
                </c:pt>
                <c:pt idx="2">
                  <c:v>98.000000000000028</c:v>
                </c:pt>
                <c:pt idx="3">
                  <c:v>107.00000000000009</c:v>
                </c:pt>
                <c:pt idx="4">
                  <c:v>92.666666666666586</c:v>
                </c:pt>
                <c:pt idx="5">
                  <c:v>105.66666666666671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D9-4634-989B-972818B0DEBD}"/>
            </c:ext>
          </c:extLst>
        </c:ser>
        <c:ser>
          <c:idx val="1"/>
          <c:order val="1"/>
          <c:tx>
            <c:v>teoria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Arkusz1!$C$11:$C$16</c:f>
              <c:numCache>
                <c:formatCode>General</c:formatCode>
                <c:ptCount val="6"/>
                <c:pt idx="0">
                  <c:v>25</c:v>
                </c:pt>
                <c:pt idx="1">
                  <c:v>35</c:v>
                </c:pt>
                <c:pt idx="2">
                  <c:v>45</c:v>
                </c:pt>
                <c:pt idx="3">
                  <c:v>55</c:v>
                </c:pt>
                <c:pt idx="4">
                  <c:v>65</c:v>
                </c:pt>
                <c:pt idx="5">
                  <c:v>75</c:v>
                </c:pt>
              </c:numCache>
            </c:numRef>
          </c:xVal>
          <c:yVal>
            <c:numRef>
              <c:f>Arkusz1!$E$11:$E$16</c:f>
              <c:numCache>
                <c:formatCode>General</c:formatCode>
                <c:ptCount val="6"/>
                <c:pt idx="0">
                  <c:v>111.11111111111111</c:v>
                </c:pt>
                <c:pt idx="1">
                  <c:v>111.11111111111111</c:v>
                </c:pt>
                <c:pt idx="2">
                  <c:v>111.11111111111111</c:v>
                </c:pt>
                <c:pt idx="3">
                  <c:v>111.11111111111111</c:v>
                </c:pt>
                <c:pt idx="4">
                  <c:v>111.11111111111111</c:v>
                </c:pt>
                <c:pt idx="5">
                  <c:v>111.11111111111111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D9-4634-989B-972818B0D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059391"/>
        <c:axId val="1705062751"/>
      </c:scatterChart>
      <c:valAx>
        <c:axId val="170505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Odległość pomiaru od okładki kondensatora płaskiego[mm]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5062751"/>
        <c:crosses val="autoZero"/>
        <c:crossBetween val="midCat"/>
      </c:valAx>
      <c:valAx>
        <c:axId val="170506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Natężenie pola elektrrycznego[V/m]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5059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pomiar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Arkusz1!$C$39:$C$45</c:f>
              <c:numCache>
                <c:formatCode>General</c:formatCode>
                <c:ptCount val="7"/>
                <c:pt idx="0">
                  <c:v>35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75</c:v>
                </c:pt>
                <c:pt idx="5">
                  <c:v>85</c:v>
                </c:pt>
                <c:pt idx="6">
                  <c:v>95</c:v>
                </c:pt>
              </c:numCache>
            </c:numRef>
          </c:xVal>
          <c:yVal>
            <c:numRef>
              <c:f>Arkusz1!$D$39:$D$45</c:f>
              <c:numCache>
                <c:formatCode>General</c:formatCode>
                <c:ptCount val="7"/>
                <c:pt idx="0">
                  <c:v>-164.33333333333323</c:v>
                </c:pt>
                <c:pt idx="1">
                  <c:v>-115.0000000000001</c:v>
                </c:pt>
                <c:pt idx="2">
                  <c:v>-104.33333333333336</c:v>
                </c:pt>
                <c:pt idx="3">
                  <c:v>-86.666666666666643</c:v>
                </c:pt>
                <c:pt idx="4">
                  <c:v>-73.999999999999972</c:v>
                </c:pt>
                <c:pt idx="5">
                  <c:v>-69.3333333333334</c:v>
                </c:pt>
                <c:pt idx="6">
                  <c:v>-61.333333333333272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E5-4CB4-B748-F686CE359794}"/>
            </c:ext>
          </c:extLst>
        </c:ser>
        <c:ser>
          <c:idx val="1"/>
          <c:order val="1"/>
          <c:tx>
            <c:v>teoria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Arkusz1!$C$39:$C$45</c:f>
              <c:numCache>
                <c:formatCode>General</c:formatCode>
                <c:ptCount val="7"/>
                <c:pt idx="0">
                  <c:v>35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75</c:v>
                </c:pt>
                <c:pt idx="5">
                  <c:v>85</c:v>
                </c:pt>
                <c:pt idx="6">
                  <c:v>95</c:v>
                </c:pt>
              </c:numCache>
            </c:numRef>
          </c:xVal>
          <c:yVal>
            <c:numRef>
              <c:f>Arkusz1!$E$39:$E$45</c:f>
              <c:numCache>
                <c:formatCode>General</c:formatCode>
                <c:ptCount val="7"/>
                <c:pt idx="0">
                  <c:v>-201.01778400476957</c:v>
                </c:pt>
                <c:pt idx="1">
                  <c:v>-150.76333800357716</c:v>
                </c:pt>
                <c:pt idx="2">
                  <c:v>-120.61067040286171</c:v>
                </c:pt>
                <c:pt idx="3">
                  <c:v>-100.50889200238478</c:v>
                </c:pt>
                <c:pt idx="4">
                  <c:v>-86.150478859186947</c:v>
                </c:pt>
                <c:pt idx="5">
                  <c:v>-75.38166900178858</c:v>
                </c:pt>
                <c:pt idx="6">
                  <c:v>-67.005928001589851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E5-4CB4-B748-F686CE359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018591"/>
        <c:axId val="1705019071"/>
      </c:scatterChart>
      <c:valAx>
        <c:axId val="170501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Odległość pomiaru od osi kondensatora cylindrycznego[mm]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5019071"/>
        <c:crosses val="autoZero"/>
        <c:crossBetween val="midCat"/>
      </c:valAx>
      <c:valAx>
        <c:axId val="170501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Natężenie pola elektrrycznego[V/m]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501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17373</xdr:colOff>
      <xdr:row>28</xdr:row>
      <xdr:rowOff>13583</xdr:rowOff>
    </xdr:from>
    <xdr:to>
      <xdr:col>16</xdr:col>
      <xdr:colOff>55473</xdr:colOff>
      <xdr:row>43</xdr:row>
      <xdr:rowOff>42156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84094E9-6C49-E554-1691-F5CC54651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26027</xdr:colOff>
      <xdr:row>1</xdr:row>
      <xdr:rowOff>48841</xdr:rowOff>
    </xdr:from>
    <xdr:to>
      <xdr:col>16</xdr:col>
      <xdr:colOff>62577</xdr:colOff>
      <xdr:row>16</xdr:row>
      <xdr:rowOff>50836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070E8CD4-A90D-C4FC-A69F-2900369BC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638174</xdr:colOff>
      <xdr:row>10</xdr:row>
      <xdr:rowOff>19049</xdr:rowOff>
    </xdr:from>
    <xdr:to>
      <xdr:col>39</xdr:col>
      <xdr:colOff>231774</xdr:colOff>
      <xdr:row>24</xdr:row>
      <xdr:rowOff>184149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68B79F1-E959-1D72-2EFF-D313BB613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22224</xdr:colOff>
      <xdr:row>27</xdr:row>
      <xdr:rowOff>158748</xdr:rowOff>
    </xdr:from>
    <xdr:to>
      <xdr:col>39</xdr:col>
      <xdr:colOff>263524</xdr:colOff>
      <xdr:row>42</xdr:row>
      <xdr:rowOff>139699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9F8F299-BB69-3033-8D79-FC827EA52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F18B-4CCE-48CC-822E-FEAF002DEDE8}">
  <dimension ref="B1:AM45"/>
  <sheetViews>
    <sheetView tabSelected="1" zoomScale="106" zoomScaleNormal="40" workbookViewId="0">
      <selection activeCell="K23" sqref="K23"/>
    </sheetView>
  </sheetViews>
  <sheetFormatPr defaultRowHeight="14.6" x14ac:dyDescent="0.4"/>
  <cols>
    <col min="2" max="2" width="10.3046875" bestFit="1" customWidth="1"/>
    <col min="4" max="4" width="11.3828125" bestFit="1" customWidth="1"/>
    <col min="5" max="5" width="10.3828125" bestFit="1" customWidth="1"/>
    <col min="6" max="6" width="9.23046875" bestFit="1" customWidth="1"/>
    <col min="10" max="10" width="17.3046875" bestFit="1" customWidth="1"/>
    <col min="18" max="39" width="2.84375" bestFit="1" customWidth="1"/>
  </cols>
  <sheetData>
    <row r="1" spans="2:39" ht="15" thickBot="1" x14ac:dyDescent="0.45"/>
    <row r="2" spans="2:39" ht="15" thickBot="1" x14ac:dyDescent="0.4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10</v>
      </c>
      <c r="R2">
        <v>1</v>
      </c>
      <c r="S2">
        <v>2</v>
      </c>
      <c r="T2">
        <v>3</v>
      </c>
      <c r="U2" s="1">
        <v>4</v>
      </c>
      <c r="V2">
        <v>5</v>
      </c>
      <c r="W2">
        <v>6</v>
      </c>
      <c r="X2">
        <v>7</v>
      </c>
      <c r="Y2">
        <v>8</v>
      </c>
      <c r="Z2">
        <v>9</v>
      </c>
      <c r="AA2">
        <v>10</v>
      </c>
      <c r="AB2" s="1">
        <v>11</v>
      </c>
      <c r="AC2">
        <v>12</v>
      </c>
      <c r="AD2">
        <v>13</v>
      </c>
      <c r="AE2" s="1">
        <v>14</v>
      </c>
      <c r="AF2">
        <v>15</v>
      </c>
      <c r="AG2">
        <v>16</v>
      </c>
      <c r="AH2">
        <v>17</v>
      </c>
      <c r="AI2">
        <v>18</v>
      </c>
      <c r="AJ2">
        <v>19</v>
      </c>
      <c r="AK2">
        <v>20</v>
      </c>
      <c r="AL2" s="1">
        <v>21</v>
      </c>
      <c r="AM2">
        <v>22</v>
      </c>
    </row>
    <row r="3" spans="2:39" ht="15" thickBot="1" x14ac:dyDescent="0.45">
      <c r="B3" t="s">
        <v>5</v>
      </c>
      <c r="C3">
        <v>20</v>
      </c>
      <c r="D3">
        <v>2.0499999999999998</v>
      </c>
      <c r="E3">
        <v>2.0699999999999998</v>
      </c>
      <c r="F3">
        <v>2.25</v>
      </c>
      <c r="G3">
        <f>(D3+E3+F3)/3</f>
        <v>2.1233333333333331</v>
      </c>
      <c r="H3">
        <f>(10/0.09)*C3/1000</f>
        <v>2.2222222222222223</v>
      </c>
      <c r="R3">
        <v>23</v>
      </c>
      <c r="S3">
        <v>24</v>
      </c>
      <c r="T3">
        <v>25</v>
      </c>
      <c r="U3">
        <v>26</v>
      </c>
      <c r="V3">
        <v>27</v>
      </c>
      <c r="W3" s="1">
        <v>28</v>
      </c>
      <c r="X3">
        <v>29</v>
      </c>
      <c r="Y3">
        <v>30</v>
      </c>
      <c r="Z3">
        <v>31</v>
      </c>
      <c r="AA3">
        <v>32</v>
      </c>
      <c r="AB3">
        <v>33</v>
      </c>
      <c r="AC3">
        <v>34</v>
      </c>
      <c r="AD3">
        <v>35</v>
      </c>
      <c r="AE3">
        <v>36</v>
      </c>
      <c r="AF3">
        <v>37</v>
      </c>
      <c r="AG3">
        <v>38</v>
      </c>
      <c r="AH3">
        <v>39</v>
      </c>
      <c r="AI3">
        <v>40</v>
      </c>
      <c r="AJ3">
        <v>41</v>
      </c>
      <c r="AK3">
        <v>42</v>
      </c>
      <c r="AL3">
        <v>43</v>
      </c>
      <c r="AM3">
        <v>44</v>
      </c>
    </row>
    <row r="4" spans="2:39" ht="15" thickBot="1" x14ac:dyDescent="0.45">
      <c r="B4" t="s">
        <v>6</v>
      </c>
      <c r="C4">
        <v>30</v>
      </c>
      <c r="D4">
        <v>2.88</v>
      </c>
      <c r="E4">
        <v>3.04</v>
      </c>
      <c r="F4">
        <v>3.56</v>
      </c>
      <c r="G4">
        <f t="shared" ref="G4:G8" si="0">(D4+E4+F4)/3</f>
        <v>3.16</v>
      </c>
      <c r="H4">
        <f t="shared" ref="H4:H8" si="1">(10/0.09)*C4/1000</f>
        <v>3.3333333333333335</v>
      </c>
      <c r="R4">
        <v>45</v>
      </c>
      <c r="S4">
        <v>46</v>
      </c>
      <c r="T4">
        <v>47</v>
      </c>
      <c r="U4">
        <v>48</v>
      </c>
      <c r="V4">
        <v>49</v>
      </c>
      <c r="W4">
        <v>50</v>
      </c>
      <c r="X4">
        <v>51</v>
      </c>
      <c r="Y4">
        <v>52</v>
      </c>
      <c r="Z4">
        <v>53</v>
      </c>
      <c r="AA4">
        <v>54</v>
      </c>
      <c r="AB4">
        <v>55</v>
      </c>
      <c r="AC4" s="1">
        <v>56</v>
      </c>
      <c r="AD4">
        <v>57</v>
      </c>
      <c r="AE4">
        <v>58</v>
      </c>
      <c r="AF4">
        <v>59</v>
      </c>
      <c r="AG4">
        <v>60</v>
      </c>
      <c r="AH4" s="1">
        <v>61</v>
      </c>
      <c r="AI4">
        <v>62</v>
      </c>
      <c r="AJ4">
        <v>63</v>
      </c>
      <c r="AK4">
        <v>64</v>
      </c>
      <c r="AL4" s="1">
        <v>65</v>
      </c>
      <c r="AM4">
        <v>66</v>
      </c>
    </row>
    <row r="5" spans="2:39" ht="15" thickBot="1" x14ac:dyDescent="0.45">
      <c r="C5">
        <v>40</v>
      </c>
      <c r="D5">
        <v>4.16</v>
      </c>
      <c r="E5">
        <v>4.2699999999999996</v>
      </c>
      <c r="F5">
        <v>4.67</v>
      </c>
      <c r="G5">
        <f t="shared" si="0"/>
        <v>4.3666666666666663</v>
      </c>
      <c r="H5">
        <f t="shared" si="1"/>
        <v>4.4444444444444446</v>
      </c>
      <c r="X5" s="5"/>
      <c r="Y5" s="5"/>
      <c r="Z5">
        <v>67</v>
      </c>
      <c r="AA5">
        <v>68</v>
      </c>
      <c r="AB5">
        <v>69</v>
      </c>
      <c r="AC5">
        <v>70</v>
      </c>
      <c r="AD5">
        <v>71</v>
      </c>
      <c r="AE5" s="2">
        <v>72</v>
      </c>
      <c r="AF5" s="3"/>
      <c r="AG5" s="3"/>
    </row>
    <row r="6" spans="2:39" x14ac:dyDescent="0.4">
      <c r="C6">
        <v>50</v>
      </c>
      <c r="D6">
        <v>5.17</v>
      </c>
      <c r="E6">
        <v>5.27</v>
      </c>
      <c r="F6">
        <v>5.6</v>
      </c>
      <c r="G6">
        <f t="shared" si="0"/>
        <v>5.3466666666666667</v>
      </c>
      <c r="H6">
        <f t="shared" si="1"/>
        <v>5.5555555555555554</v>
      </c>
      <c r="X6" s="5"/>
      <c r="Y6" s="5"/>
      <c r="AF6" s="3"/>
      <c r="AG6" s="3"/>
    </row>
    <row r="7" spans="2:39" x14ac:dyDescent="0.4">
      <c r="C7">
        <v>60</v>
      </c>
      <c r="D7">
        <v>6.23</v>
      </c>
      <c r="E7">
        <v>6.47</v>
      </c>
      <c r="F7">
        <v>6.55</v>
      </c>
      <c r="G7">
        <f t="shared" si="0"/>
        <v>6.416666666666667</v>
      </c>
      <c r="H7">
        <f t="shared" si="1"/>
        <v>6.666666666666667</v>
      </c>
      <c r="X7" s="5"/>
      <c r="Y7" s="5"/>
      <c r="AF7" s="3"/>
      <c r="AG7" s="3"/>
    </row>
    <row r="8" spans="2:39" x14ac:dyDescent="0.4">
      <c r="C8">
        <v>70</v>
      </c>
      <c r="D8">
        <v>7.43</v>
      </c>
      <c r="E8">
        <v>7.65</v>
      </c>
      <c r="F8">
        <v>6.95</v>
      </c>
      <c r="G8">
        <f t="shared" si="0"/>
        <v>7.3433333333333337</v>
      </c>
      <c r="H8">
        <f t="shared" si="1"/>
        <v>7.7777777777777786</v>
      </c>
      <c r="X8" s="5"/>
      <c r="Y8" s="5"/>
      <c r="AF8" s="3"/>
      <c r="AG8" s="3"/>
    </row>
    <row r="9" spans="2:39" x14ac:dyDescent="0.4">
      <c r="X9" s="5"/>
      <c r="Y9" s="5"/>
      <c r="AF9" s="3"/>
      <c r="AG9" s="3"/>
    </row>
    <row r="10" spans="2:39" x14ac:dyDescent="0.4">
      <c r="C10" t="s">
        <v>0</v>
      </c>
      <c r="D10" t="s">
        <v>15</v>
      </c>
      <c r="E10" t="s">
        <v>16</v>
      </c>
    </row>
    <row r="11" spans="2:39" x14ac:dyDescent="0.4">
      <c r="C11">
        <f>(C4+C3)/2</f>
        <v>25</v>
      </c>
      <c r="D11">
        <f>(G4-G3)/(C4/1000-C3/1000)</f>
        <v>103.66666666666673</v>
      </c>
      <c r="E11">
        <f>10/0.09</f>
        <v>111.11111111111111</v>
      </c>
      <c r="G11">
        <f>G3/(C3/1000)</f>
        <v>106.16666666666666</v>
      </c>
    </row>
    <row r="12" spans="2:39" x14ac:dyDescent="0.4">
      <c r="C12">
        <f t="shared" ref="C12:C15" si="2">(C5+C4)/2</f>
        <v>35</v>
      </c>
      <c r="D12">
        <f>(G5-G4)/(C5/1000-C4/1000)</f>
        <v>120.66666666666659</v>
      </c>
      <c r="E12">
        <f t="shared" ref="E12:E16" si="3">10/0.09</f>
        <v>111.11111111111111</v>
      </c>
    </row>
    <row r="13" spans="2:39" x14ac:dyDescent="0.4">
      <c r="C13">
        <f t="shared" si="2"/>
        <v>45</v>
      </c>
      <c r="D13">
        <f t="shared" ref="D13:D15" si="4">(G6-G5)/(C6/1000-C5/1000)</f>
        <v>98.000000000000028</v>
      </c>
      <c r="E13">
        <f t="shared" si="3"/>
        <v>111.11111111111111</v>
      </c>
      <c r="AB13" s="4"/>
    </row>
    <row r="14" spans="2:39" x14ac:dyDescent="0.4">
      <c r="C14">
        <f t="shared" si="2"/>
        <v>55</v>
      </c>
      <c r="D14">
        <f t="shared" si="4"/>
        <v>107.00000000000009</v>
      </c>
      <c r="E14">
        <f t="shared" si="3"/>
        <v>111.11111111111111</v>
      </c>
    </row>
    <row r="15" spans="2:39" x14ac:dyDescent="0.4">
      <c r="C15">
        <f t="shared" si="2"/>
        <v>65</v>
      </c>
      <c r="D15">
        <f t="shared" si="4"/>
        <v>92.666666666666586</v>
      </c>
      <c r="E15">
        <f t="shared" si="3"/>
        <v>111.11111111111111</v>
      </c>
    </row>
    <row r="16" spans="2:39" x14ac:dyDescent="0.4">
      <c r="C16">
        <f>(80+C8)/2</f>
        <v>75</v>
      </c>
      <c r="D16">
        <f>(8.4-G8)/(80/1000-C8/1000)</f>
        <v>105.66666666666671</v>
      </c>
      <c r="E16">
        <f t="shared" si="3"/>
        <v>111.11111111111111</v>
      </c>
    </row>
    <row r="18" spans="2:12" x14ac:dyDescent="0.4">
      <c r="C18" t="s">
        <v>9</v>
      </c>
      <c r="D18" t="s">
        <v>4</v>
      </c>
      <c r="E18" t="s">
        <v>17</v>
      </c>
      <c r="F18" t="s">
        <v>18</v>
      </c>
      <c r="G18" t="s">
        <v>19</v>
      </c>
      <c r="H18" t="s">
        <v>0</v>
      </c>
      <c r="J18" t="s">
        <v>20</v>
      </c>
      <c r="K18" cm="1">
        <f t="array" ref="K18:L18">LINEST(G3:G8,C3:C8)</f>
        <v>0.1052857142857143</v>
      </c>
      <c r="L18">
        <v>5.492063492063437E-2</v>
      </c>
    </row>
    <row r="19" spans="2:12" x14ac:dyDescent="0.4">
      <c r="B19" t="s">
        <v>7</v>
      </c>
      <c r="C19">
        <v>28</v>
      </c>
      <c r="D19">
        <v>7.58</v>
      </c>
      <c r="G19">
        <f>D19/(H19/1000)</f>
        <v>76.085858965439925</v>
      </c>
      <c r="H19">
        <f>SQRT((30^2)+(95^2))</f>
        <v>99.624294225856374</v>
      </c>
      <c r="J19" t="s">
        <v>21</v>
      </c>
      <c r="K19" cm="1">
        <f t="array" ref="K19:L19">LINEST(D11:D16,C11:C16)</f>
        <v>-0.18571428571428567</v>
      </c>
      <c r="L19">
        <v>113.89682539682542</v>
      </c>
    </row>
    <row r="20" spans="2:12" x14ac:dyDescent="0.4">
      <c r="B20" t="s">
        <v>6</v>
      </c>
      <c r="C20">
        <v>14</v>
      </c>
      <c r="D20">
        <v>3.76</v>
      </c>
      <c r="G20">
        <f t="shared" ref="G20:G27" si="5">D20/(H20/1000)</f>
        <v>88.014942691490177</v>
      </c>
      <c r="H20">
        <f>SQRT((40^2)+(15^2))</f>
        <v>42.720018726587654</v>
      </c>
    </row>
    <row r="21" spans="2:12" x14ac:dyDescent="0.4">
      <c r="B21" t="s">
        <v>8</v>
      </c>
      <c r="C21">
        <v>61</v>
      </c>
      <c r="D21">
        <v>1.6</v>
      </c>
      <c r="G21">
        <f t="shared" si="5"/>
        <v>64</v>
      </c>
      <c r="H21">
        <f>SQRT((20^2)+(15^2))</f>
        <v>25</v>
      </c>
      <c r="J21" t="s">
        <v>22</v>
      </c>
      <c r="K21" cm="1">
        <f t="array" ref="K21:L21">LINEST(G30:G36,C30:C36)</f>
        <v>-9.9714285714285741E-2</v>
      </c>
      <c r="L21">
        <v>10.424761904761906</v>
      </c>
    </row>
    <row r="22" spans="2:12" x14ac:dyDescent="0.4">
      <c r="C22">
        <v>72</v>
      </c>
      <c r="D22">
        <v>1.92</v>
      </c>
      <c r="G22">
        <f t="shared" si="5"/>
        <v>96</v>
      </c>
      <c r="H22">
        <f>SQRT((20^2)+(0^2))</f>
        <v>20</v>
      </c>
      <c r="J22" t="s">
        <v>23</v>
      </c>
      <c r="K22" cm="1">
        <f t="array" ref="K22:L22">LINEST(D39:D45,C39:C45)</f>
        <v>1.5380952380952386</v>
      </c>
      <c r="L22">
        <v>-196.40476190476193</v>
      </c>
    </row>
    <row r="23" spans="2:12" x14ac:dyDescent="0.4">
      <c r="C23">
        <v>21</v>
      </c>
      <c r="D23">
        <v>1.74</v>
      </c>
      <c r="G23">
        <f t="shared" si="5"/>
        <v>25.585468848864512</v>
      </c>
      <c r="H23">
        <f>SQRT((40^2)+(55^2))</f>
        <v>68.007352543677214</v>
      </c>
    </row>
    <row r="24" spans="2:12" x14ac:dyDescent="0.4">
      <c r="C24">
        <v>11</v>
      </c>
      <c r="D24">
        <v>5.23</v>
      </c>
      <c r="G24">
        <f t="shared" si="5"/>
        <v>86.865571927012027</v>
      </c>
      <c r="H24">
        <f>SQRT((40^2)+(45^2))</f>
        <v>60.207972893961475</v>
      </c>
    </row>
    <row r="25" spans="2:12" x14ac:dyDescent="0.4">
      <c r="C25">
        <v>4</v>
      </c>
      <c r="D25">
        <v>7.85</v>
      </c>
      <c r="G25">
        <f t="shared" si="5"/>
        <v>64.472172644724765</v>
      </c>
      <c r="H25">
        <f>SQRT((40^2)+(115^2))</f>
        <v>121.75795661885921</v>
      </c>
    </row>
    <row r="26" spans="2:12" x14ac:dyDescent="0.4">
      <c r="C26">
        <v>65</v>
      </c>
      <c r="D26">
        <v>1.39</v>
      </c>
      <c r="G26">
        <f t="shared" si="5"/>
        <v>23.751142884525954</v>
      </c>
      <c r="H26">
        <f>SQRT((20^2)+(55^2))</f>
        <v>58.523499553598128</v>
      </c>
    </row>
    <row r="27" spans="2:12" x14ac:dyDescent="0.4">
      <c r="C27">
        <v>56</v>
      </c>
      <c r="D27">
        <v>4.8600000000000003</v>
      </c>
      <c r="G27">
        <f t="shared" si="5"/>
        <v>120.56176202071065</v>
      </c>
      <c r="H27">
        <f>SQRT((20^2)+(35^2))</f>
        <v>40.311288741492746</v>
      </c>
    </row>
    <row r="29" spans="2:12" x14ac:dyDescent="0.4">
      <c r="C29" t="s">
        <v>13</v>
      </c>
      <c r="D29" t="s">
        <v>1</v>
      </c>
      <c r="E29" t="s">
        <v>2</v>
      </c>
      <c r="F29" t="s">
        <v>3</v>
      </c>
      <c r="G29" t="s">
        <v>4</v>
      </c>
      <c r="H29" t="s">
        <v>10</v>
      </c>
    </row>
    <row r="30" spans="2:12" x14ac:dyDescent="0.4">
      <c r="B30" t="s">
        <v>11</v>
      </c>
      <c r="C30">
        <v>30</v>
      </c>
      <c r="D30">
        <v>8.02</v>
      </c>
      <c r="E30">
        <v>7.87</v>
      </c>
      <c r="F30">
        <v>7.96</v>
      </c>
      <c r="G30">
        <f>(D30+E30+F30)/3</f>
        <v>7.95</v>
      </c>
      <c r="H30">
        <f t="shared" ref="H30:H36" si="6">10/LN($B$35/$B$32)*LN(C30/$B$35)</f>
        <v>-7.5548290743052737</v>
      </c>
    </row>
    <row r="31" spans="2:12" x14ac:dyDescent="0.4">
      <c r="B31" t="s">
        <v>12</v>
      </c>
      <c r="C31">
        <v>40</v>
      </c>
      <c r="D31">
        <v>6.25</v>
      </c>
      <c r="E31">
        <v>6.32</v>
      </c>
      <c r="F31">
        <v>6.35</v>
      </c>
      <c r="G31">
        <f t="shared" ref="G31:G36" si="7">(D31+E31+F31)/3</f>
        <v>6.3066666666666675</v>
      </c>
      <c r="H31">
        <f t="shared" si="6"/>
        <v>-5.8199526932405776</v>
      </c>
    </row>
    <row r="32" spans="2:12" x14ac:dyDescent="0.4">
      <c r="B32">
        <v>20</v>
      </c>
      <c r="C32">
        <v>50</v>
      </c>
      <c r="D32">
        <v>4.95</v>
      </c>
      <c r="E32">
        <v>5.22</v>
      </c>
      <c r="F32">
        <v>5.3</v>
      </c>
      <c r="G32">
        <f t="shared" si="7"/>
        <v>5.1566666666666663</v>
      </c>
      <c r="H32">
        <f t="shared" si="6"/>
        <v>-4.4742780272364664</v>
      </c>
    </row>
    <row r="33" spans="2:8" x14ac:dyDescent="0.4">
      <c r="C33">
        <v>60</v>
      </c>
      <c r="D33">
        <v>3.97</v>
      </c>
      <c r="E33">
        <v>4.07</v>
      </c>
      <c r="F33">
        <v>4.3</v>
      </c>
      <c r="G33">
        <f t="shared" si="7"/>
        <v>4.1133333333333333</v>
      </c>
      <c r="H33">
        <f t="shared" si="6"/>
        <v>-3.3747817675458518</v>
      </c>
    </row>
    <row r="34" spans="2:8" x14ac:dyDescent="0.4">
      <c r="B34" t="s">
        <v>14</v>
      </c>
      <c r="C34">
        <v>70</v>
      </c>
      <c r="D34">
        <v>3.03</v>
      </c>
      <c r="E34">
        <v>3.33</v>
      </c>
      <c r="F34">
        <v>3.38</v>
      </c>
      <c r="G34">
        <f t="shared" si="7"/>
        <v>3.2466666666666661</v>
      </c>
      <c r="H34">
        <f t="shared" si="6"/>
        <v>-2.4451709256947258</v>
      </c>
    </row>
    <row r="35" spans="2:8" x14ac:dyDescent="0.4">
      <c r="B35">
        <v>105</v>
      </c>
      <c r="C35">
        <v>80</v>
      </c>
      <c r="D35">
        <v>2.33</v>
      </c>
      <c r="E35">
        <v>2.56</v>
      </c>
      <c r="F35">
        <v>2.63</v>
      </c>
      <c r="G35">
        <f t="shared" si="7"/>
        <v>2.5066666666666668</v>
      </c>
      <c r="H35">
        <f t="shared" si="6"/>
        <v>-1.6399053864811548</v>
      </c>
    </row>
    <row r="36" spans="2:8" x14ac:dyDescent="0.4">
      <c r="C36">
        <v>90</v>
      </c>
      <c r="D36">
        <v>1.69</v>
      </c>
      <c r="E36">
        <v>1.85</v>
      </c>
      <c r="F36">
        <v>1.9</v>
      </c>
      <c r="G36">
        <f t="shared" si="7"/>
        <v>1.8133333333333332</v>
      </c>
      <c r="H36">
        <f t="shared" si="6"/>
        <v>-0.92961084185112619</v>
      </c>
    </row>
    <row r="38" spans="2:8" x14ac:dyDescent="0.4">
      <c r="C38" t="s">
        <v>0</v>
      </c>
      <c r="D38" t="s">
        <v>15</v>
      </c>
      <c r="E38" t="s">
        <v>16</v>
      </c>
      <c r="H38">
        <f t="shared" ref="H38:H44" si="8">-H30</f>
        <v>7.5548290743052737</v>
      </c>
    </row>
    <row r="39" spans="2:8" x14ac:dyDescent="0.4">
      <c r="C39">
        <f>(C31+C30)/2</f>
        <v>35</v>
      </c>
      <c r="D39">
        <f>(G31-G30)/(C31/1000-C30/1000)</f>
        <v>-164.33333333333323</v>
      </c>
      <c r="E39">
        <f t="shared" ref="E39:E45" si="9">-10/(C30/1000*LN($B$35/$B$32))</f>
        <v>-201.01778400476957</v>
      </c>
      <c r="H39">
        <f t="shared" si="8"/>
        <v>5.8199526932405776</v>
      </c>
    </row>
    <row r="40" spans="2:8" x14ac:dyDescent="0.4">
      <c r="C40">
        <f t="shared" ref="C40:C44" si="10">(C32+C31)/2</f>
        <v>45</v>
      </c>
      <c r="D40">
        <f t="shared" ref="D40:D44" si="11">(G32-G31)/(C32/1000-C31/1000)</f>
        <v>-115.0000000000001</v>
      </c>
      <c r="E40">
        <f t="shared" si="9"/>
        <v>-150.76333800357716</v>
      </c>
      <c r="H40">
        <f t="shared" si="8"/>
        <v>4.4742780272364664</v>
      </c>
    </row>
    <row r="41" spans="2:8" x14ac:dyDescent="0.4">
      <c r="C41">
        <f t="shared" si="10"/>
        <v>55</v>
      </c>
      <c r="D41">
        <f t="shared" si="11"/>
        <v>-104.33333333333336</v>
      </c>
      <c r="E41">
        <f t="shared" si="9"/>
        <v>-120.61067040286171</v>
      </c>
      <c r="H41">
        <f t="shared" si="8"/>
        <v>3.3747817675458518</v>
      </c>
    </row>
    <row r="42" spans="2:8" x14ac:dyDescent="0.4">
      <c r="C42">
        <f t="shared" si="10"/>
        <v>65</v>
      </c>
      <c r="D42">
        <f t="shared" si="11"/>
        <v>-86.666666666666643</v>
      </c>
      <c r="E42">
        <f t="shared" si="9"/>
        <v>-100.50889200238478</v>
      </c>
      <c r="H42">
        <f t="shared" si="8"/>
        <v>2.4451709256947258</v>
      </c>
    </row>
    <row r="43" spans="2:8" x14ac:dyDescent="0.4">
      <c r="C43">
        <f t="shared" si="10"/>
        <v>75</v>
      </c>
      <c r="D43">
        <f t="shared" si="11"/>
        <v>-73.999999999999972</v>
      </c>
      <c r="E43">
        <f t="shared" si="9"/>
        <v>-86.150478859186947</v>
      </c>
      <c r="H43">
        <f t="shared" si="8"/>
        <v>1.6399053864811548</v>
      </c>
    </row>
    <row r="44" spans="2:8" x14ac:dyDescent="0.4">
      <c r="C44">
        <f t="shared" si="10"/>
        <v>85</v>
      </c>
      <c r="D44">
        <f t="shared" si="11"/>
        <v>-69.3333333333334</v>
      </c>
      <c r="E44">
        <f t="shared" si="9"/>
        <v>-75.38166900178858</v>
      </c>
      <c r="H44">
        <f t="shared" si="8"/>
        <v>0.92961084185112619</v>
      </c>
    </row>
    <row r="45" spans="2:8" x14ac:dyDescent="0.4">
      <c r="C45">
        <f>(100+C36)/2</f>
        <v>95</v>
      </c>
      <c r="D45">
        <f>(1.2-G36)/(100/1000-C36/1000)</f>
        <v>-61.333333333333272</v>
      </c>
      <c r="E45">
        <f t="shared" si="9"/>
        <v>-67.005928001589851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2025-03-21T15:51:14Z</dcterms:created>
  <dcterms:modified xsi:type="dcterms:W3CDTF">2025-04-30T10:25:17Z</dcterms:modified>
</cp:coreProperties>
</file>