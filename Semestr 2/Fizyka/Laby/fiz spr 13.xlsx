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AGH MTM\Semestr 2\"/>
    </mc:Choice>
  </mc:AlternateContent>
  <xr:revisionPtr revIDLastSave="0" documentId="13_ncr:1_{00BAE14C-00A7-4ECF-83D7-F150C1D43C23}" xr6:coauthVersionLast="47" xr6:coauthVersionMax="47" xr10:uidLastSave="{00000000-0000-0000-0000-000000000000}"/>
  <bookViews>
    <workbookView xWindow="-98" yWindow="-98" windowWidth="21795" windowHeight="13695" xr2:uid="{D2F42CE8-43FC-4490-A75B-CB9197E51BB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12" i="1" s="1"/>
  <c r="G5" i="1"/>
  <c r="G6" i="1"/>
  <c r="G7" i="1"/>
  <c r="G8" i="1"/>
  <c r="G9" i="1"/>
  <c r="G10" i="1"/>
  <c r="G3" i="1"/>
</calcChain>
</file>

<file path=xl/sharedStrings.xml><?xml version="1.0" encoding="utf-8"?>
<sst xmlns="http://schemas.openxmlformats.org/spreadsheetml/2006/main" count="9" uniqueCount="9">
  <si>
    <t>nr. kulki</t>
  </si>
  <si>
    <t>d[mm]</t>
  </si>
  <si>
    <t>m[g]</t>
  </si>
  <si>
    <t>t[s]</t>
  </si>
  <si>
    <t>D=39mm</t>
  </si>
  <si>
    <t>temp.=20^oC</t>
  </si>
  <si>
    <t>l=0,7m</t>
  </si>
  <si>
    <t>w. Śr.</t>
  </si>
  <si>
    <t>wsp. Lepk.[Pa]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</si>
</sst>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A0F9-7A25-47AB-B6ED-7429F9150936}">
  <dimension ref="B2:G14"/>
  <sheetViews>
    <sheetView tabSelected="1" workbookViewId="0">
      <selection activeCell="I6" sqref="I6"/>
    </sheetView>
  </sheetViews>
  <sheetFormatPr defaultRowHeight="14.25" x14ac:dyDescent="0.45"/>
  <cols>
    <col min="7" max="7" width="11.73046875" customWidth="1"/>
  </cols>
  <sheetData>
    <row r="2" spans="2:7" x14ac:dyDescent="0.45">
      <c r="B2" t="s">
        <v>0</v>
      </c>
      <c r="C2" t="s">
        <v>1</v>
      </c>
      <c r="D2" t="s">
        <v>2</v>
      </c>
      <c r="E2" t="s">
        <v>3</v>
      </c>
      <c r="G2" t="s">
        <v>8</v>
      </c>
    </row>
    <row r="3" spans="2:7" x14ac:dyDescent="0.45">
      <c r="B3">
        <v>1</v>
      </c>
      <c r="C3">
        <v>5</v>
      </c>
      <c r="D3">
        <v>0.37</v>
      </c>
      <c r="E3">
        <v>10.49</v>
      </c>
      <c r="G3">
        <f>(((D3/1000)-PI()*1255.9*((C3/1000)^3)/6)*(9.813*E3))/(3*PI()*0.7*(C3/1000)*(1+2.4*(C3/1000)/(39/1000)))</f>
        <v>0.68679267648778486</v>
      </c>
    </row>
    <row r="4" spans="2:7" x14ac:dyDescent="0.45">
      <c r="B4">
        <v>2</v>
      </c>
      <c r="C4">
        <v>3.5</v>
      </c>
      <c r="D4">
        <v>0.17499999999999999</v>
      </c>
      <c r="E4">
        <v>16.23</v>
      </c>
      <c r="G4">
        <f>(((D4/1000)-PI()*1255.9*((C4/1000)^3)/6)*(9.813*E4))/(3*PI()*0.7*(C4/1000)*(1+2.4*(C4/1000)/(39/1000)))</f>
        <v>0.83313036367791715</v>
      </c>
    </row>
    <row r="5" spans="2:7" x14ac:dyDescent="0.45">
      <c r="B5">
        <v>3</v>
      </c>
      <c r="C5">
        <v>4</v>
      </c>
      <c r="D5">
        <v>0.26500000000000001</v>
      </c>
      <c r="E5">
        <v>12.51</v>
      </c>
      <c r="G5">
        <f t="shared" ref="G4:G10" si="0">(((D5/1000)-PI()*1255.9*((C5/1000)^3)/6)*(9.813*E5))/(3*PI()*0.7*(C5/1000)*(1+2.4*(C5/1000)/(39/1000)))</f>
        <v>0.83213997713572352</v>
      </c>
    </row>
    <row r="6" spans="2:7" x14ac:dyDescent="0.45">
      <c r="B6">
        <v>4</v>
      </c>
      <c r="C6">
        <v>3.5</v>
      </c>
      <c r="D6">
        <v>0.17499999999999999</v>
      </c>
      <c r="E6">
        <v>16.38</v>
      </c>
      <c r="G6">
        <f t="shared" si="0"/>
        <v>0.84083027461763926</v>
      </c>
    </row>
    <row r="7" spans="2:7" x14ac:dyDescent="0.45">
      <c r="B7">
        <v>5</v>
      </c>
      <c r="C7">
        <v>4</v>
      </c>
      <c r="D7">
        <v>0.27</v>
      </c>
      <c r="E7">
        <v>12.48</v>
      </c>
      <c r="G7">
        <f t="shared" si="0"/>
        <v>0.84876469019072864</v>
      </c>
    </row>
    <row r="8" spans="2:7" x14ac:dyDescent="0.45">
      <c r="B8">
        <v>6</v>
      </c>
      <c r="C8">
        <v>4.75</v>
      </c>
      <c r="D8">
        <v>0.44</v>
      </c>
      <c r="E8">
        <v>9.4</v>
      </c>
      <c r="G8">
        <f t="shared" si="0"/>
        <v>0.84167587840382196</v>
      </c>
    </row>
    <row r="9" spans="2:7" x14ac:dyDescent="0.45">
      <c r="B9">
        <v>7</v>
      </c>
      <c r="C9">
        <v>3.5</v>
      </c>
      <c r="D9">
        <v>0.17499999999999999</v>
      </c>
      <c r="E9">
        <v>16.07</v>
      </c>
      <c r="G9">
        <f t="shared" si="0"/>
        <v>0.82491712534221384</v>
      </c>
    </row>
    <row r="10" spans="2:7" x14ac:dyDescent="0.45">
      <c r="B10">
        <v>8</v>
      </c>
      <c r="C10">
        <v>4.75</v>
      </c>
      <c r="D10">
        <v>0.44</v>
      </c>
      <c r="E10">
        <v>9.4499999999999993</v>
      </c>
      <c r="G10">
        <f t="shared" si="0"/>
        <v>0.84615287775703374</v>
      </c>
    </row>
    <row r="12" spans="2:7" x14ac:dyDescent="0.45">
      <c r="B12" t="s">
        <v>5</v>
      </c>
      <c r="F12" t="s">
        <v>7</v>
      </c>
      <c r="G12">
        <f>(G3+G4+G5+G6+G7+G8+G9+G10)/8</f>
        <v>0.81930048295160796</v>
      </c>
    </row>
    <row r="13" spans="2:7" x14ac:dyDescent="0.45">
      <c r="B13" t="s">
        <v>4</v>
      </c>
    </row>
    <row r="14" spans="2:7" x14ac:dyDescent="0.45">
      <c r="B1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Wojna</dc:creator>
  <cp:lastModifiedBy>Michał Wojna</cp:lastModifiedBy>
  <dcterms:created xsi:type="dcterms:W3CDTF">2025-03-14T16:25:40Z</dcterms:created>
  <dcterms:modified xsi:type="dcterms:W3CDTF">2025-03-15T19:32:48Z</dcterms:modified>
</cp:coreProperties>
</file>