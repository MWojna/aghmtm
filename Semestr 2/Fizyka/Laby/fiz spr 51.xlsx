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AGH MTM\Semestr 2\Fizyka\"/>
    </mc:Choice>
  </mc:AlternateContent>
  <xr:revisionPtr revIDLastSave="0" documentId="13_ncr:1_{9626BC09-6E03-493A-B6B8-40CDB3D424F3}" xr6:coauthVersionLast="47" xr6:coauthVersionMax="47" xr10:uidLastSave="{00000000-0000-0000-0000-000000000000}"/>
  <bookViews>
    <workbookView xWindow="10718" yWindow="0" windowWidth="10965" windowHeight="13583" xr2:uid="{CE3FAFEC-0DBA-46BB-A59A-5696C44449B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H23" i="1"/>
  <c r="C26" i="1"/>
  <c r="G23" i="1"/>
  <c r="B26" i="1"/>
  <c r="F23" i="1"/>
  <c r="D23" i="1"/>
  <c r="C23" i="1"/>
  <c r="B23" i="1"/>
  <c r="G18" i="1"/>
  <c r="E18" i="1"/>
  <c r="C18" i="1"/>
  <c r="F19" i="1"/>
  <c r="F20" i="1"/>
  <c r="F18" i="1"/>
  <c r="D19" i="1"/>
  <c r="D20" i="1"/>
  <c r="D18" i="1"/>
  <c r="B19" i="1"/>
  <c r="B20" i="1"/>
  <c r="B18" i="1"/>
  <c r="G13" i="1"/>
  <c r="C13" i="1"/>
  <c r="E13" i="1"/>
  <c r="H14" i="1"/>
  <c r="H15" i="1"/>
  <c r="H13" i="1"/>
  <c r="F14" i="1"/>
  <c r="F15" i="1"/>
  <c r="F13" i="1"/>
  <c r="D14" i="1"/>
  <c r="D15" i="1"/>
  <c r="D13" i="1"/>
</calcChain>
</file>

<file path=xl/sharedStrings.xml><?xml version="1.0" encoding="utf-8"?>
<sst xmlns="http://schemas.openxmlformats.org/spreadsheetml/2006/main" count="37" uniqueCount="30">
  <si>
    <t>plytka 1</t>
  </si>
  <si>
    <t xml:space="preserve">plytka 2 </t>
  </si>
  <si>
    <t>plytka 3</t>
  </si>
  <si>
    <t>szklo</t>
  </si>
  <si>
    <t>nr. krzyża</t>
  </si>
  <si>
    <t>a_g[mm]</t>
  </si>
  <si>
    <t>a_d[mm]</t>
  </si>
  <si>
    <t>h_1[mm]</t>
  </si>
  <si>
    <t>h_2[mm]</t>
  </si>
  <si>
    <t>h_3[mm]</t>
  </si>
  <si>
    <t>u(d)[mm]</t>
  </si>
  <si>
    <t>u(h)[mm]</t>
  </si>
  <si>
    <t>h_1(śr)</t>
  </si>
  <si>
    <t>h_2(śr)</t>
  </si>
  <si>
    <t>h_3(śr)</t>
  </si>
  <si>
    <t>n_1</t>
  </si>
  <si>
    <t>płytka_1[mm]</t>
  </si>
  <si>
    <t>płytka_3[mm]</t>
  </si>
  <si>
    <t>płytka_2[mm]</t>
  </si>
  <si>
    <t>n_2</t>
  </si>
  <si>
    <t>n_3</t>
  </si>
  <si>
    <t>n_1(śr)</t>
  </si>
  <si>
    <t>n_2(śr)</t>
  </si>
  <si>
    <t>n_3(śr)</t>
  </si>
  <si>
    <t>u(n_1)</t>
  </si>
  <si>
    <t>u(n_2)</t>
  </si>
  <si>
    <t>u(n_3)</t>
  </si>
  <si>
    <t>u(n_1)/n</t>
  </si>
  <si>
    <t>u(n_2)/n</t>
  </si>
  <si>
    <t>u(n_3)/n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</si>
</sst>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A9C93-1736-4647-9E78-C81920547301}">
  <dimension ref="B2:H26"/>
  <sheetViews>
    <sheetView tabSelected="1" topLeftCell="A6" workbookViewId="0">
      <selection activeCell="D27" sqref="D27"/>
    </sheetView>
  </sheetViews>
  <sheetFormatPr defaultRowHeight="14.25" x14ac:dyDescent="0.45"/>
  <cols>
    <col min="2" max="3" width="11.73046875" bestFit="1" customWidth="1"/>
    <col min="4" max="4" width="11.33203125" bestFit="1" customWidth="1"/>
  </cols>
  <sheetData>
    <row r="2" spans="2:8" x14ac:dyDescent="0.45">
      <c r="B2" t="s">
        <v>16</v>
      </c>
      <c r="C2" t="s">
        <v>18</v>
      </c>
      <c r="D2" t="s">
        <v>17</v>
      </c>
      <c r="F2" t="s">
        <v>10</v>
      </c>
      <c r="G2" t="s">
        <v>11</v>
      </c>
    </row>
    <row r="3" spans="2:8" x14ac:dyDescent="0.45">
      <c r="B3">
        <v>3.88</v>
      </c>
      <c r="C3">
        <v>3.875</v>
      </c>
      <c r="D3">
        <v>3.88</v>
      </c>
      <c r="F3">
        <v>0.01</v>
      </c>
      <c r="G3">
        <v>0.01</v>
      </c>
    </row>
    <row r="6" spans="2:8" ht="14.65" thickBot="1" x14ac:dyDescent="0.5">
      <c r="C6" t="s">
        <v>3</v>
      </c>
    </row>
    <row r="7" spans="2:8" ht="14.65" thickBot="1" x14ac:dyDescent="0.5">
      <c r="C7" s="5" t="s">
        <v>0</v>
      </c>
      <c r="D7" s="6"/>
      <c r="E7" s="5" t="s">
        <v>1</v>
      </c>
      <c r="F7" s="6"/>
      <c r="G7" s="5" t="s">
        <v>2</v>
      </c>
      <c r="H7" s="6"/>
    </row>
    <row r="8" spans="2:8" x14ac:dyDescent="0.45">
      <c r="B8" t="s">
        <v>4</v>
      </c>
      <c r="C8" s="1" t="s">
        <v>5</v>
      </c>
      <c r="D8" s="2" t="s">
        <v>6</v>
      </c>
      <c r="E8" s="1" t="s">
        <v>5</v>
      </c>
      <c r="F8" s="2" t="s">
        <v>6</v>
      </c>
      <c r="G8" s="1" t="s">
        <v>5</v>
      </c>
      <c r="H8" s="2" t="s">
        <v>6</v>
      </c>
    </row>
    <row r="9" spans="2:8" x14ac:dyDescent="0.45">
      <c r="B9">
        <v>1</v>
      </c>
      <c r="C9" s="1">
        <v>5.32</v>
      </c>
      <c r="D9" s="2">
        <v>7.89</v>
      </c>
      <c r="E9" s="1">
        <v>5.33</v>
      </c>
      <c r="F9" s="2">
        <v>7.9</v>
      </c>
      <c r="G9" s="1">
        <v>5.31</v>
      </c>
      <c r="H9" s="2">
        <v>7.9</v>
      </c>
    </row>
    <row r="10" spans="2:8" x14ac:dyDescent="0.45">
      <c r="B10">
        <v>2</v>
      </c>
      <c r="C10" s="1">
        <v>5.26</v>
      </c>
      <c r="D10" s="2">
        <v>7.93</v>
      </c>
      <c r="E10" s="1">
        <v>5.34</v>
      </c>
      <c r="F10" s="2">
        <v>7.85</v>
      </c>
      <c r="G10" s="1">
        <v>5.25</v>
      </c>
      <c r="H10" s="2">
        <v>7.95</v>
      </c>
    </row>
    <row r="11" spans="2:8" ht="14.65" thickBot="1" x14ac:dyDescent="0.5">
      <c r="B11">
        <v>3</v>
      </c>
      <c r="C11" s="3">
        <v>5.35</v>
      </c>
      <c r="D11" s="4">
        <v>7.87</v>
      </c>
      <c r="E11" s="3">
        <v>5.19</v>
      </c>
      <c r="F11" s="4">
        <v>7.85</v>
      </c>
      <c r="G11" s="3">
        <v>5.23</v>
      </c>
      <c r="H11" s="4">
        <v>7.86</v>
      </c>
    </row>
    <row r="12" spans="2:8" x14ac:dyDescent="0.45">
      <c r="C12" t="s">
        <v>12</v>
      </c>
      <c r="D12" t="s">
        <v>7</v>
      </c>
      <c r="E12" t="s">
        <v>13</v>
      </c>
      <c r="F12" t="s">
        <v>8</v>
      </c>
      <c r="G12" t="s">
        <v>14</v>
      </c>
      <c r="H12" t="s">
        <v>9</v>
      </c>
    </row>
    <row r="13" spans="2:8" x14ac:dyDescent="0.45">
      <c r="C13">
        <f>(D13+D14+D15)/3</f>
        <v>2.5866666666666664</v>
      </c>
      <c r="D13">
        <f>D9-C9</f>
        <v>2.5699999999999994</v>
      </c>
      <c r="E13">
        <f>(F13+F14+F15)/3</f>
        <v>2.5799999999999996</v>
      </c>
      <c r="F13">
        <f>F9-E9</f>
        <v>2.5700000000000003</v>
      </c>
      <c r="G13">
        <f>(H13+H14+H15)/3</f>
        <v>2.64</v>
      </c>
      <c r="H13">
        <f>H9-G9</f>
        <v>2.5900000000000007</v>
      </c>
    </row>
    <row r="14" spans="2:8" x14ac:dyDescent="0.45">
      <c r="D14">
        <f t="shared" ref="D14:D15" si="0">D10-C10</f>
        <v>2.67</v>
      </c>
      <c r="F14">
        <f t="shared" ref="F14:F15" si="1">F10-E10</f>
        <v>2.5099999999999998</v>
      </c>
      <c r="H14">
        <f t="shared" ref="H14:H15" si="2">H10-G10</f>
        <v>2.7</v>
      </c>
    </row>
    <row r="15" spans="2:8" x14ac:dyDescent="0.45">
      <c r="D15">
        <f t="shared" si="0"/>
        <v>2.5200000000000005</v>
      </c>
      <c r="F15">
        <f t="shared" si="1"/>
        <v>2.6599999999999993</v>
      </c>
      <c r="H15">
        <f t="shared" si="2"/>
        <v>2.63</v>
      </c>
    </row>
    <row r="17" spans="2:8" x14ac:dyDescent="0.45">
      <c r="B17" t="s">
        <v>15</v>
      </c>
      <c r="C17" t="s">
        <v>21</v>
      </c>
      <c r="D17" t="s">
        <v>19</v>
      </c>
      <c r="E17" t="s">
        <v>22</v>
      </c>
      <c r="F17" t="s">
        <v>20</v>
      </c>
      <c r="G17" t="s">
        <v>23</v>
      </c>
    </row>
    <row r="18" spans="2:8" x14ac:dyDescent="0.45">
      <c r="B18">
        <f>$B$3/D13</f>
        <v>1.5097276264591444</v>
      </c>
      <c r="C18">
        <f>B3/C13</f>
        <v>1.5</v>
      </c>
      <c r="D18">
        <f>$C$3/F13</f>
        <v>1.5077821011673149</v>
      </c>
      <c r="E18">
        <f>C3/E13</f>
        <v>1.5019379844961243</v>
      </c>
      <c r="F18">
        <f>$D$3/H13</f>
        <v>1.4980694980694975</v>
      </c>
      <c r="G18">
        <f>D3/G13</f>
        <v>1.4696969696969695</v>
      </c>
    </row>
    <row r="19" spans="2:8" x14ac:dyDescent="0.45">
      <c r="B19">
        <f t="shared" ref="B19:B20" si="3">$B$3/D14</f>
        <v>1.4531835205992509</v>
      </c>
      <c r="D19">
        <f t="shared" ref="D19:D20" si="4">$C$3/F14</f>
        <v>1.5438247011952193</v>
      </c>
      <c r="F19">
        <f t="shared" ref="F19:F20" si="5">$D$3/H14</f>
        <v>1.4370370370370369</v>
      </c>
    </row>
    <row r="20" spans="2:8" x14ac:dyDescent="0.45">
      <c r="B20">
        <f t="shared" si="3"/>
        <v>1.5396825396825393</v>
      </c>
      <c r="D20">
        <f t="shared" si="4"/>
        <v>1.4567669172932336</v>
      </c>
      <c r="F20">
        <f t="shared" si="5"/>
        <v>1.4752851711026616</v>
      </c>
    </row>
    <row r="22" spans="2:8" x14ac:dyDescent="0.45">
      <c r="B22" t="s">
        <v>24</v>
      </c>
      <c r="C22" t="s">
        <v>25</v>
      </c>
      <c r="D22" t="s">
        <v>26</v>
      </c>
      <c r="F22" t="s">
        <v>27</v>
      </c>
      <c r="G22" t="s">
        <v>28</v>
      </c>
      <c r="H22" t="s">
        <v>29</v>
      </c>
    </row>
    <row r="23" spans="2:8" x14ac:dyDescent="0.45">
      <c r="B23">
        <f>SQRT((1/C13*F3)^2+(-B3/C13^2*G3)^2)</f>
        <v>6.9694934448401857E-3</v>
      </c>
      <c r="C23">
        <f>SQRT((1/E13*F3)^2+(-C3/E13^2*G3)^2)</f>
        <v>6.9937537152282743E-3</v>
      </c>
      <c r="D23">
        <f>SQRT((1/G13*F3)^2+(-D3/G13^2*G3)^2)</f>
        <v>6.733490402680539E-3</v>
      </c>
      <c r="F23">
        <f>SQRT((F3/B3)^2+(G3/C13)^2)</f>
        <v>4.6463289632267908E-3</v>
      </c>
      <c r="G23">
        <f>SQRT((F3/C3)^2+(G3/E13)^2)</f>
        <v>4.6564863445906959E-3</v>
      </c>
      <c r="H23">
        <f>SQRT((F3/D3)^2+(G3/G13)^2)</f>
        <v>4.5815501708960371E-3</v>
      </c>
    </row>
    <row r="25" spans="2:8" x14ac:dyDescent="0.45">
      <c r="B25" t="s">
        <v>24</v>
      </c>
      <c r="C25" t="s">
        <v>25</v>
      </c>
      <c r="D25" t="s">
        <v>26</v>
      </c>
    </row>
    <row r="26" spans="2:8" x14ac:dyDescent="0.45">
      <c r="B26">
        <f>SQRT((F3/B3)^2+(G3/C13)^2)*C18</f>
        <v>6.9694934448401857E-3</v>
      </c>
      <c r="C26">
        <f>SQRT((F3/C3)^2+(G3/E13)^2)*E18</f>
        <v>6.9937537152282752E-3</v>
      </c>
      <c r="D26">
        <f>SQRT((F3/D3)^2+(G3/G13)^2)*G18</f>
        <v>6.7334904026805382E-3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Wojna</dc:creator>
  <cp:lastModifiedBy>Michał Wojna</cp:lastModifiedBy>
  <dcterms:created xsi:type="dcterms:W3CDTF">2025-03-28T15:51:51Z</dcterms:created>
  <dcterms:modified xsi:type="dcterms:W3CDTF">2025-03-28T19:13:36Z</dcterms:modified>
</cp:coreProperties>
</file>