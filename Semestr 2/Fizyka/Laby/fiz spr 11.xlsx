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2\Fizyka\"/>
    </mc:Choice>
  </mc:AlternateContent>
  <xr:revisionPtr revIDLastSave="0" documentId="13_ncr:1_{68E2F6ED-1671-4237-BBFB-5B1F122ED0EA}" xr6:coauthVersionLast="47" xr6:coauthVersionMax="47" xr10:uidLastSave="{00000000-0000-0000-0000-000000000000}"/>
  <bookViews>
    <workbookView xWindow="12257" yWindow="0" windowWidth="12514" windowHeight="15514" xr2:uid="{72EDF64B-80D1-4FFD-B4FC-38E5C8D7B72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E4" i="1"/>
  <c r="E3" i="1"/>
  <c r="M10" i="1" s="1"/>
  <c r="D10" i="1"/>
  <c r="M3" i="1" a="1"/>
  <c r="M3" i="1" s="1"/>
  <c r="B7" i="1"/>
  <c r="M14" i="1" a="1"/>
  <c r="M14" i="1" s="1"/>
  <c r="D7" i="1"/>
  <c r="B10" i="1" l="1"/>
  <c r="B11" i="1" s="1"/>
  <c r="E7" i="1"/>
  <c r="K4" i="1"/>
  <c r="K5" i="1"/>
  <c r="K6" i="1"/>
  <c r="K7" i="1"/>
  <c r="K8" i="1"/>
  <c r="K9" i="1"/>
  <c r="K10" i="1"/>
  <c r="K11" i="1"/>
  <c r="K12" i="1"/>
  <c r="K14" i="1"/>
  <c r="K15" i="1"/>
  <c r="K16" i="1"/>
  <c r="K17" i="1"/>
  <c r="K18" i="1"/>
  <c r="K19" i="1"/>
  <c r="K20" i="1"/>
  <c r="K21" i="1"/>
  <c r="K22" i="1"/>
  <c r="K23" i="1"/>
  <c r="K3" i="1"/>
  <c r="H15" i="1"/>
  <c r="H16" i="1"/>
  <c r="H17" i="1"/>
  <c r="H18" i="1"/>
  <c r="H19" i="1"/>
  <c r="H20" i="1"/>
  <c r="H21" i="1"/>
  <c r="H22" i="1"/>
  <c r="H23" i="1"/>
  <c r="H14" i="1"/>
  <c r="H4" i="1"/>
  <c r="H5" i="1"/>
  <c r="H6" i="1"/>
  <c r="H7" i="1"/>
  <c r="H8" i="1"/>
  <c r="H9" i="1"/>
  <c r="H10" i="1"/>
  <c r="H11" i="1"/>
  <c r="H12" i="1"/>
  <c r="H3" i="1"/>
  <c r="M21" i="1" l="1"/>
  <c r="D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<sst xmlns="http://schemas.openxmlformats.org/spreadsheetml/2006/main" count="37" uniqueCount="29">
  <si>
    <t>d[mm]</t>
  </si>
  <si>
    <t>m[kg]</t>
  </si>
  <si>
    <t>l(g)[mm]</t>
  </si>
  <si>
    <t>l(d)[mm]</t>
  </si>
  <si>
    <t>l(śr)[mm]</t>
  </si>
  <si>
    <t>F[N]</t>
  </si>
  <si>
    <t>l(dr)[m]</t>
  </si>
  <si>
    <t>stal</t>
  </si>
  <si>
    <t>mosiądz</t>
  </si>
  <si>
    <t>1,18;1,18;1,18</t>
  </si>
  <si>
    <t>0,71;0,71;0,71</t>
  </si>
  <si>
    <t>a</t>
  </si>
  <si>
    <t>u(d)[mm]</t>
  </si>
  <si>
    <t>E_stal[Gpa]</t>
  </si>
  <si>
    <t>u(a)_stal</t>
  </si>
  <si>
    <t>u(a)_mosiądz</t>
  </si>
  <si>
    <t>E_mosiądź[Gpa]</t>
  </si>
  <si>
    <t>U_c(E)/E</t>
  </si>
  <si>
    <t>u(l)[m]</t>
  </si>
  <si>
    <t>Wartośćdoświadczalna</t>
  </si>
  <si>
    <t>Wartość tablicowa</t>
  </si>
  <si>
    <t>Nachylenie prostej a</t>
  </si>
  <si>
    <t>Niepewność nachylenia prostej u(a)</t>
  </si>
  <si>
    <t>Wartość modułu Younga</t>
  </si>
  <si>
    <t>Niepewność modułu Younga</t>
  </si>
  <si>
    <t>Dla drutu stalowego</t>
  </si>
  <si>
    <t>Dla drutu mosiężnego</t>
  </si>
  <si>
    <t>210-220</t>
  </si>
  <si>
    <t>d(śr)[mm]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</si>
</sst>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DB5-4F2D-9367-8EDD250FF330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DB5-4F2D-9367-8EDD250FF330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DB5-4F2D-9367-8EDD250FF330}"/>
              </c:ext>
            </c:extLst>
          </c:dPt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Arkusz1!$H$3:$H$12</c:f>
              <c:numCache>
                <c:formatCode>General</c:formatCode>
                <c:ptCount val="10"/>
                <c:pt idx="0">
                  <c:v>9.8130000000000006</c:v>
                </c:pt>
                <c:pt idx="1">
                  <c:v>19.626000000000001</c:v>
                </c:pt>
                <c:pt idx="2">
                  <c:v>29.439</c:v>
                </c:pt>
                <c:pt idx="3">
                  <c:v>39.252000000000002</c:v>
                </c:pt>
                <c:pt idx="4">
                  <c:v>49.065000000000005</c:v>
                </c:pt>
                <c:pt idx="5">
                  <c:v>58.878</c:v>
                </c:pt>
                <c:pt idx="6">
                  <c:v>68.691000000000003</c:v>
                </c:pt>
                <c:pt idx="7">
                  <c:v>78.504000000000005</c:v>
                </c:pt>
                <c:pt idx="8">
                  <c:v>88.317000000000007</c:v>
                </c:pt>
                <c:pt idx="9">
                  <c:v>98.13000000000001</c:v>
                </c:pt>
              </c:numCache>
            </c:numRef>
          </c:xVal>
          <c:yVal>
            <c:numRef>
              <c:f>Arkusz1!$K$3:$K$12</c:f>
              <c:numCache>
                <c:formatCode>General</c:formatCode>
                <c:ptCount val="10"/>
                <c:pt idx="0">
                  <c:v>0.3075</c:v>
                </c:pt>
                <c:pt idx="1">
                  <c:v>0.52</c:v>
                </c:pt>
                <c:pt idx="2">
                  <c:v>0.70499999999999996</c:v>
                </c:pt>
                <c:pt idx="3">
                  <c:v>0.87749999999999995</c:v>
                </c:pt>
                <c:pt idx="4">
                  <c:v>1.0375000000000001</c:v>
                </c:pt>
                <c:pt idx="5">
                  <c:v>1.1875</c:v>
                </c:pt>
                <c:pt idx="6">
                  <c:v>1.3275000000000001</c:v>
                </c:pt>
                <c:pt idx="7">
                  <c:v>1.48</c:v>
                </c:pt>
                <c:pt idx="8">
                  <c:v>1.6274999999999999</c:v>
                </c:pt>
                <c:pt idx="9">
                  <c:v>1.77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4A-4B2A-AC60-6A5D3C3AD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296272"/>
        <c:axId val="142203984"/>
      </c:scatterChart>
      <c:valAx>
        <c:axId val="200629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Siłą F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2203984"/>
        <c:crosses val="autoZero"/>
        <c:crossBetween val="midCat"/>
      </c:valAx>
      <c:valAx>
        <c:axId val="14220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Średnie wydłużenie druta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0629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mosiądz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0D6-41D3-97E4-231270429878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0D6-41D3-97E4-23127042987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0D6-41D3-97E4-231270429878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Arkusz1!$H$14:$H$23</c:f>
              <c:numCache>
                <c:formatCode>General</c:formatCode>
                <c:ptCount val="10"/>
                <c:pt idx="0">
                  <c:v>9.8130000000000006</c:v>
                </c:pt>
                <c:pt idx="1">
                  <c:v>19.626000000000001</c:v>
                </c:pt>
                <c:pt idx="2">
                  <c:v>29.439</c:v>
                </c:pt>
                <c:pt idx="3">
                  <c:v>39.252000000000002</c:v>
                </c:pt>
                <c:pt idx="4">
                  <c:v>49.065000000000005</c:v>
                </c:pt>
                <c:pt idx="5">
                  <c:v>58.878</c:v>
                </c:pt>
                <c:pt idx="6">
                  <c:v>68.691000000000003</c:v>
                </c:pt>
                <c:pt idx="7">
                  <c:v>78.504000000000005</c:v>
                </c:pt>
                <c:pt idx="8">
                  <c:v>88.317000000000007</c:v>
                </c:pt>
                <c:pt idx="9">
                  <c:v>98.13000000000001</c:v>
                </c:pt>
              </c:numCache>
            </c:numRef>
          </c:xVal>
          <c:yVal>
            <c:numRef>
              <c:f>Arkusz1!$K$14:$K$23</c:f>
              <c:numCache>
                <c:formatCode>General</c:formatCode>
                <c:ptCount val="10"/>
                <c:pt idx="0">
                  <c:v>0.2</c:v>
                </c:pt>
                <c:pt idx="1">
                  <c:v>0.35499999999999998</c:v>
                </c:pt>
                <c:pt idx="2">
                  <c:v>0.51</c:v>
                </c:pt>
                <c:pt idx="3">
                  <c:v>0.63749999999999996</c:v>
                </c:pt>
                <c:pt idx="4">
                  <c:v>0.76249999999999996</c:v>
                </c:pt>
                <c:pt idx="5">
                  <c:v>0.875</c:v>
                </c:pt>
                <c:pt idx="6">
                  <c:v>0.99249999999999994</c:v>
                </c:pt>
                <c:pt idx="7">
                  <c:v>1.1025</c:v>
                </c:pt>
                <c:pt idx="8">
                  <c:v>1.2050000000000001</c:v>
                </c:pt>
                <c:pt idx="9">
                  <c:v>1.325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D6-41D3-97E4-231270429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010400"/>
        <c:axId val="1025001760"/>
      </c:scatterChart>
      <c:valAx>
        <c:axId val="102501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Siłą F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5001760"/>
        <c:crosses val="autoZero"/>
        <c:crossBetween val="midCat"/>
      </c:valAx>
      <c:valAx>
        <c:axId val="10250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Średnie wydłużenie druta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501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626435</xdr:colOff>
      <xdr:row>24</xdr:row>
      <xdr:rowOff>33029</xdr:rowOff>
    </xdr:from>
    <xdr:to>
      <xdr:col>7</xdr:col>
      <xdr:colOff>263483</xdr:colOff>
      <xdr:row>39</xdr:row>
      <xdr:rowOff>57974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8B6353E-66C2-EBC2-D9F8-050605F5C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29840</xdr:colOff>
      <xdr:row>24</xdr:row>
      <xdr:rowOff>24491</xdr:rowOff>
    </xdr:from>
    <xdr:to>
      <xdr:col>14</xdr:col>
      <xdr:colOff>344953</xdr:colOff>
      <xdr:row>38</xdr:row>
      <xdr:rowOff>176891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F8B6B69-5096-3A1D-ABA1-3ABF43E4A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4607-BC40-4292-9C3E-B9A02E1D6831}">
  <dimension ref="B2:R23"/>
  <sheetViews>
    <sheetView tabSelected="1" zoomScale="124" zoomScaleNormal="130" workbookViewId="0">
      <selection activeCell="B13" sqref="B13"/>
    </sheetView>
  </sheetViews>
  <sheetFormatPr defaultRowHeight="14.6" x14ac:dyDescent="0.4"/>
  <cols>
    <col min="2" max="2" width="9.23046875" customWidth="1"/>
    <col min="4" max="4" width="12.3828125" bestFit="1" customWidth="1"/>
    <col min="5" max="5" width="11.61328125" bestFit="1" customWidth="1"/>
    <col min="13" max="13" width="13.84375" bestFit="1" customWidth="1"/>
    <col min="16" max="16" width="34.69140625" bestFit="1" customWidth="1"/>
    <col min="17" max="17" width="19.53515625" bestFit="1" customWidth="1"/>
    <col min="18" max="18" width="15.765625" bestFit="1" customWidth="1"/>
  </cols>
  <sheetData>
    <row r="2" spans="2:18" x14ac:dyDescent="0.4">
      <c r="C2" t="s">
        <v>6</v>
      </c>
      <c r="D2" t="s">
        <v>0</v>
      </c>
      <c r="E2" t="s">
        <v>28</v>
      </c>
      <c r="G2" t="s">
        <v>1</v>
      </c>
      <c r="H2" t="s">
        <v>5</v>
      </c>
      <c r="I2" t="s">
        <v>2</v>
      </c>
      <c r="J2" t="s">
        <v>3</v>
      </c>
      <c r="K2" t="s">
        <v>4</v>
      </c>
      <c r="M2" t="s">
        <v>11</v>
      </c>
      <c r="P2" t="s">
        <v>25</v>
      </c>
      <c r="Q2" t="s">
        <v>19</v>
      </c>
      <c r="R2" t="s">
        <v>20</v>
      </c>
    </row>
    <row r="3" spans="2:18" ht="15.9" x14ac:dyDescent="0.4">
      <c r="B3" t="s">
        <v>7</v>
      </c>
      <c r="C3">
        <v>1.0649999999999999</v>
      </c>
      <c r="D3" t="s">
        <v>10</v>
      </c>
      <c r="E3">
        <f>0.71</f>
        <v>0.71</v>
      </c>
      <c r="G3">
        <v>1</v>
      </c>
      <c r="H3">
        <f>G3*9.813</f>
        <v>9.8130000000000006</v>
      </c>
      <c r="I3">
        <v>0.62</v>
      </c>
      <c r="J3">
        <v>0.61</v>
      </c>
      <c r="K3">
        <f>(I3+J3)/4</f>
        <v>0.3075</v>
      </c>
      <c r="M3" cm="1">
        <f t="array" ref="M3:N7">LINEST(K6:K12,H6:H12,TRUE,TRUE)</f>
        <v>1.5103870958349707E-2</v>
      </c>
      <c r="N3">
        <v>0.29214285714285726</v>
      </c>
      <c r="P3" s="1" t="s">
        <v>21</v>
      </c>
      <c r="Q3">
        <v>1.5103871E-2</v>
      </c>
    </row>
    <row r="4" spans="2:18" ht="15.9" x14ac:dyDescent="0.4">
      <c r="B4" t="s">
        <v>8</v>
      </c>
      <c r="C4">
        <v>1.0649999999999999</v>
      </c>
      <c r="D4" t="s">
        <v>9</v>
      </c>
      <c r="E4">
        <f>1.18</f>
        <v>1.18</v>
      </c>
      <c r="G4">
        <v>2</v>
      </c>
      <c r="H4">
        <f t="shared" ref="H4:H12" si="0">G4*9.813</f>
        <v>19.626000000000001</v>
      </c>
      <c r="I4">
        <v>1.04</v>
      </c>
      <c r="J4">
        <v>1.04</v>
      </c>
      <c r="K4">
        <f t="shared" ref="K4:K23" si="1">(I4+J4)/4</f>
        <v>0.52</v>
      </c>
      <c r="M4">
        <v>1.0229483718795302E-4</v>
      </c>
      <c r="N4">
        <v>7.307914356702549E-3</v>
      </c>
      <c r="P4" s="1" t="s">
        <v>22</v>
      </c>
      <c r="Q4">
        <v>1.02295E-4</v>
      </c>
    </row>
    <row r="5" spans="2:18" ht="15.9" x14ac:dyDescent="0.4">
      <c r="G5">
        <v>3</v>
      </c>
      <c r="H5">
        <f t="shared" si="0"/>
        <v>29.439</v>
      </c>
      <c r="I5">
        <v>1.39</v>
      </c>
      <c r="J5">
        <v>1.43</v>
      </c>
      <c r="K5">
        <f t="shared" si="1"/>
        <v>0.70499999999999996</v>
      </c>
      <c r="M5">
        <v>0.99977070145038582</v>
      </c>
      <c r="N5">
        <v>5.3117121264509787E-3</v>
      </c>
      <c r="P5" s="1" t="s">
        <v>23</v>
      </c>
      <c r="Q5">
        <v>178.09624479999999</v>
      </c>
      <c r="R5" s="3" t="s">
        <v>27</v>
      </c>
    </row>
    <row r="6" spans="2:18" ht="15.9" x14ac:dyDescent="0.4">
      <c r="B6" t="s">
        <v>18</v>
      </c>
      <c r="C6" t="s">
        <v>12</v>
      </c>
      <c r="D6" t="s">
        <v>14</v>
      </c>
      <c r="E6" t="s">
        <v>15</v>
      </c>
      <c r="G6">
        <v>4</v>
      </c>
      <c r="H6">
        <f t="shared" si="0"/>
        <v>39.252000000000002</v>
      </c>
      <c r="I6">
        <v>1.75</v>
      </c>
      <c r="J6">
        <v>1.76</v>
      </c>
      <c r="K6">
        <f t="shared" si="1"/>
        <v>0.87749999999999995</v>
      </c>
      <c r="M6">
        <v>21800.632911391884</v>
      </c>
      <c r="N6">
        <v>5</v>
      </c>
      <c r="P6" s="1" t="s">
        <v>24</v>
      </c>
      <c r="Q6">
        <v>0.939413991</v>
      </c>
    </row>
    <row r="7" spans="2:18" ht="15.9" x14ac:dyDescent="0.4">
      <c r="B7">
        <f>1/1000</f>
        <v>1E-3</v>
      </c>
      <c r="C7">
        <f>0.01</f>
        <v>0.01</v>
      </c>
      <c r="D7">
        <f>M4</f>
        <v>1.0229483718795302E-4</v>
      </c>
      <c r="E7">
        <f>M15</f>
        <v>1.2152835056313079E-4</v>
      </c>
      <c r="G7">
        <v>5</v>
      </c>
      <c r="H7">
        <f t="shared" si="0"/>
        <v>49.065000000000005</v>
      </c>
      <c r="I7">
        <v>2.06</v>
      </c>
      <c r="J7">
        <v>2.09</v>
      </c>
      <c r="K7">
        <f t="shared" si="1"/>
        <v>1.0375000000000001</v>
      </c>
      <c r="M7">
        <v>0.61508928571428556</v>
      </c>
      <c r="N7">
        <v>1.4107142857143192E-4</v>
      </c>
      <c r="P7" s="1" t="s">
        <v>26</v>
      </c>
    </row>
    <row r="8" spans="2:18" ht="15.9" x14ac:dyDescent="0.45">
      <c r="G8">
        <v>6</v>
      </c>
      <c r="H8">
        <f t="shared" si="0"/>
        <v>58.878</v>
      </c>
      <c r="I8">
        <v>2.37</v>
      </c>
      <c r="J8">
        <v>2.38</v>
      </c>
      <c r="K8">
        <f t="shared" si="1"/>
        <v>1.1875</v>
      </c>
      <c r="P8" s="1" t="s">
        <v>21</v>
      </c>
      <c r="Q8" s="2">
        <v>1.1555371E-2</v>
      </c>
    </row>
    <row r="9" spans="2:18" ht="15.9" x14ac:dyDescent="0.45">
      <c r="B9" t="s">
        <v>17</v>
      </c>
      <c r="C9" t="s">
        <v>7</v>
      </c>
      <c r="D9" t="s">
        <v>17</v>
      </c>
      <c r="E9" t="s">
        <v>8</v>
      </c>
      <c r="G9">
        <v>7</v>
      </c>
      <c r="H9">
        <f t="shared" si="0"/>
        <v>68.691000000000003</v>
      </c>
      <c r="I9">
        <v>2.61</v>
      </c>
      <c r="J9">
        <v>2.7</v>
      </c>
      <c r="K9">
        <f t="shared" si="1"/>
        <v>1.3275000000000001</v>
      </c>
      <c r="M9" t="s">
        <v>13</v>
      </c>
      <c r="P9" s="1" t="s">
        <v>22</v>
      </c>
      <c r="Q9" s="2">
        <v>1.2152800000000001E-4</v>
      </c>
    </row>
    <row r="10" spans="2:18" ht="15.9" x14ac:dyDescent="0.45">
      <c r="B10">
        <f>SQRT((B7/C3)^2+(-2*C7/E3)^2+(-D7/M3)^2)</f>
        <v>2.8986984004471344E-2</v>
      </c>
      <c r="D10">
        <f>SQRT((B7/C4)^2+(-2*C7/E4)^2+(-E7/M14)^2)</f>
        <v>1.9969067389436046E-2</v>
      </c>
      <c r="G10">
        <v>8</v>
      </c>
      <c r="H10">
        <f t="shared" si="0"/>
        <v>78.504000000000005</v>
      </c>
      <c r="I10">
        <v>2.94</v>
      </c>
      <c r="J10">
        <v>2.98</v>
      </c>
      <c r="K10">
        <f t="shared" si="1"/>
        <v>1.48</v>
      </c>
      <c r="M10">
        <f>(4*$C$3)/(PI()*($E$3)^2*$M$3)</f>
        <v>178.09624483435212</v>
      </c>
      <c r="P10" s="1" t="s">
        <v>23</v>
      </c>
      <c r="Q10" s="2">
        <v>84.277532620000002</v>
      </c>
      <c r="R10">
        <v>100</v>
      </c>
    </row>
    <row r="11" spans="2:18" ht="15.9" x14ac:dyDescent="0.4">
      <c r="B11">
        <f>B10*M10</f>
        <v>5.1624730002697774</v>
      </c>
      <c r="D11">
        <f>D10*M21</f>
        <v>1.6829437283193414</v>
      </c>
      <c r="G11">
        <v>9</v>
      </c>
      <c r="H11">
        <f t="shared" si="0"/>
        <v>88.317000000000007</v>
      </c>
      <c r="I11">
        <v>3.24</v>
      </c>
      <c r="J11">
        <v>3.27</v>
      </c>
      <c r="K11">
        <f t="shared" si="1"/>
        <v>1.6274999999999999</v>
      </c>
      <c r="P11" s="1" t="s">
        <v>24</v>
      </c>
      <c r="Q11" s="1">
        <v>0.93917898399999999</v>
      </c>
    </row>
    <row r="12" spans="2:18" x14ac:dyDescent="0.4">
      <c r="G12">
        <v>10</v>
      </c>
      <c r="H12">
        <f t="shared" si="0"/>
        <v>98.13000000000001</v>
      </c>
      <c r="I12">
        <v>3.54</v>
      </c>
      <c r="J12">
        <v>3.54</v>
      </c>
      <c r="K12">
        <f t="shared" si="1"/>
        <v>1.77</v>
      </c>
    </row>
    <row r="13" spans="2:18" x14ac:dyDescent="0.4">
      <c r="M13" t="s">
        <v>11</v>
      </c>
    </row>
    <row r="14" spans="2:18" x14ac:dyDescent="0.4">
      <c r="G14">
        <v>1</v>
      </c>
      <c r="H14">
        <f>G14*9.813</f>
        <v>9.8130000000000006</v>
      </c>
      <c r="I14">
        <v>0.39</v>
      </c>
      <c r="J14">
        <v>0.41</v>
      </c>
      <c r="K14">
        <f t="shared" si="1"/>
        <v>0.2</v>
      </c>
      <c r="M14" cm="1">
        <f t="array" ref="M14:N18">LINEST(K17:K23,H17:H23,TRUE,TRUE)</f>
        <v>1.1555371154882008E-2</v>
      </c>
      <c r="N14">
        <v>0.1919642857142857</v>
      </c>
    </row>
    <row r="15" spans="2:18" x14ac:dyDescent="0.4">
      <c r="G15">
        <v>2</v>
      </c>
      <c r="H15">
        <f t="shared" ref="H15:H23" si="2">G15*9.813</f>
        <v>19.626000000000001</v>
      </c>
      <c r="I15">
        <v>0.71</v>
      </c>
      <c r="J15">
        <v>0.71</v>
      </c>
      <c r="K15">
        <f t="shared" si="1"/>
        <v>0.35499999999999998</v>
      </c>
      <c r="M15">
        <v>1.2152835056313079E-4</v>
      </c>
      <c r="N15">
        <v>8.6819511349813753E-3</v>
      </c>
    </row>
    <row r="16" spans="2:18" x14ac:dyDescent="0.4">
      <c r="G16">
        <v>3</v>
      </c>
      <c r="H16">
        <f t="shared" si="2"/>
        <v>29.439</v>
      </c>
      <c r="I16">
        <v>0.99</v>
      </c>
      <c r="J16">
        <v>1.05</v>
      </c>
      <c r="K16">
        <f t="shared" si="1"/>
        <v>0.51</v>
      </c>
      <c r="M16">
        <v>0.9994472645793262</v>
      </c>
      <c r="N16">
        <v>6.3104222181585247E-3</v>
      </c>
    </row>
    <row r="17" spans="7:14" x14ac:dyDescent="0.4">
      <c r="G17">
        <v>4</v>
      </c>
      <c r="H17">
        <f t="shared" si="2"/>
        <v>39.252000000000002</v>
      </c>
      <c r="I17">
        <v>1.25</v>
      </c>
      <c r="J17">
        <v>1.3</v>
      </c>
      <c r="K17">
        <f t="shared" si="1"/>
        <v>0.63749999999999996</v>
      </c>
      <c r="M17">
        <v>9040.9192825111713</v>
      </c>
      <c r="N17">
        <v>5</v>
      </c>
    </row>
    <row r="18" spans="7:14" x14ac:dyDescent="0.4">
      <c r="G18">
        <v>5</v>
      </c>
      <c r="H18">
        <f t="shared" si="2"/>
        <v>49.065000000000005</v>
      </c>
      <c r="I18">
        <v>1.51</v>
      </c>
      <c r="J18">
        <v>1.54</v>
      </c>
      <c r="K18">
        <f t="shared" si="1"/>
        <v>0.76249999999999996</v>
      </c>
      <c r="M18">
        <v>0.36002232142857149</v>
      </c>
      <c r="N18">
        <v>1.9910714285714375E-4</v>
      </c>
    </row>
    <row r="19" spans="7:14" x14ac:dyDescent="0.4">
      <c r="G19">
        <v>6</v>
      </c>
      <c r="H19">
        <f t="shared" si="2"/>
        <v>58.878</v>
      </c>
      <c r="I19">
        <v>1.73</v>
      </c>
      <c r="J19">
        <v>1.77</v>
      </c>
      <c r="K19">
        <f t="shared" si="1"/>
        <v>0.875</v>
      </c>
    </row>
    <row r="20" spans="7:14" x14ac:dyDescent="0.4">
      <c r="G20">
        <v>7</v>
      </c>
      <c r="H20">
        <f t="shared" si="2"/>
        <v>68.691000000000003</v>
      </c>
      <c r="I20">
        <v>1.98</v>
      </c>
      <c r="J20">
        <v>1.99</v>
      </c>
      <c r="K20">
        <f t="shared" si="1"/>
        <v>0.99249999999999994</v>
      </c>
      <c r="M20" t="s">
        <v>16</v>
      </c>
    </row>
    <row r="21" spans="7:14" x14ac:dyDescent="0.4">
      <c r="G21">
        <v>8</v>
      </c>
      <c r="H21">
        <f t="shared" si="2"/>
        <v>78.504000000000005</v>
      </c>
      <c r="I21">
        <v>2.19</v>
      </c>
      <c r="J21">
        <v>2.2200000000000002</v>
      </c>
      <c r="K21">
        <f t="shared" si="1"/>
        <v>1.1025</v>
      </c>
      <c r="M21">
        <f>(4*$C$4)/(PI()*($E$4)^2*$M$14)</f>
        <v>84.277532620759516</v>
      </c>
    </row>
    <row r="22" spans="7:14" x14ac:dyDescent="0.4">
      <c r="G22">
        <v>9</v>
      </c>
      <c r="H22">
        <f t="shared" si="2"/>
        <v>88.317000000000007</v>
      </c>
      <c r="I22">
        <v>2.4300000000000002</v>
      </c>
      <c r="J22">
        <v>2.39</v>
      </c>
      <c r="K22">
        <f t="shared" si="1"/>
        <v>1.2050000000000001</v>
      </c>
    </row>
    <row r="23" spans="7:14" x14ac:dyDescent="0.4">
      <c r="G23">
        <v>10</v>
      </c>
      <c r="H23">
        <f t="shared" si="2"/>
        <v>98.13000000000001</v>
      </c>
      <c r="I23">
        <v>2.65</v>
      </c>
      <c r="J23">
        <v>2.65</v>
      </c>
      <c r="K23">
        <f t="shared" si="1"/>
        <v>1.325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2025-03-14T17:20:41Z</dcterms:created>
  <dcterms:modified xsi:type="dcterms:W3CDTF">2025-04-11T09:55:05Z</dcterms:modified>
</cp:coreProperties>
</file>