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esktop\AGH MTM\Semestr 2\Fizyka\"/>
    </mc:Choice>
  </mc:AlternateContent>
  <xr:revisionPtr revIDLastSave="0" documentId="13_ncr:1_{E8DF32EB-DD87-4F54-9F17-215797F578BB}" xr6:coauthVersionLast="47" xr6:coauthVersionMax="47" xr10:uidLastSave="{00000000-0000-0000-0000-000000000000}"/>
  <bookViews>
    <workbookView xWindow="-86" yWindow="0" windowWidth="12515" windowHeight="15514" xr2:uid="{2830CEEF-E408-4275-8B7E-496F39C0BD1E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4" i="1" l="1"/>
  <c r="M35" i="1"/>
  <c r="M36" i="1"/>
  <c r="M37" i="1"/>
  <c r="M33" i="1"/>
  <c r="L16" i="1"/>
  <c r="K12" i="1" s="1"/>
  <c r="K16" i="1"/>
  <c r="J16" i="1"/>
  <c r="K14" i="1"/>
  <c r="H34" i="1" l="1"/>
  <c r="H35" i="1"/>
  <c r="H36" i="1"/>
  <c r="H37" i="1"/>
  <c r="G33" i="1"/>
  <c r="H33" i="1"/>
  <c r="I34" i="1"/>
  <c r="I35" i="1"/>
  <c r="I36" i="1"/>
  <c r="I37" i="1"/>
  <c r="I33" i="1"/>
  <c r="G37" i="1"/>
  <c r="G36" i="1"/>
  <c r="G35" i="1"/>
  <c r="G34" i="1"/>
  <c r="I10" i="1" a="1"/>
  <c r="I10" i="1" s="1"/>
  <c r="I16" i="1" s="1"/>
  <c r="J7" i="1"/>
  <c r="J6" i="1"/>
  <c r="J5" i="1"/>
  <c r="C9" i="1"/>
  <c r="J4" i="1"/>
  <c r="C6" i="1"/>
  <c r="J3" i="1"/>
  <c r="C3" i="1"/>
  <c r="C15" i="1"/>
  <c r="C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<sst xmlns="http://schemas.openxmlformats.org/spreadsheetml/2006/main" count="68" uniqueCount="34">
  <si>
    <t>Kolor/Długość fali [nm]</t>
  </si>
  <si>
    <t>U_h [V]</t>
  </si>
  <si>
    <t>U_h,śred [V]</t>
  </si>
  <si>
    <t>I [uA]</t>
  </si>
  <si>
    <t>Zielony</t>
  </si>
  <si>
    <t>Biały</t>
  </si>
  <si>
    <t>Niebieski/Fioletowy</t>
  </si>
  <si>
    <t>Żółty</t>
  </si>
  <si>
    <t>Czerwony</t>
  </si>
  <si>
    <t>Kolor 1/dł.fali[nm] Częst.[1/s]</t>
  </si>
  <si>
    <t>I[uA]</t>
  </si>
  <si>
    <t>U_a-f[V]</t>
  </si>
  <si>
    <t>Kolor 2/dł.fali[nm] Częst.[1/s]</t>
  </si>
  <si>
    <t>Kolor 3/dł.fali[nm] Częst.[1/s]</t>
  </si>
  <si>
    <t>Kolor 4/dł.fali[nm] Częst.[1/s]</t>
  </si>
  <si>
    <t>Kolor 5/dł.fali[nm] Częst.[1/s]</t>
  </si>
  <si>
    <t>Niebieski</t>
  </si>
  <si>
    <t>λ [um]</t>
  </si>
  <si>
    <t>THz</t>
  </si>
  <si>
    <t>Reglinp</t>
  </si>
  <si>
    <t>Częstotliwość f=c/λ [Hz]</t>
  </si>
  <si>
    <t>kolor</t>
  </si>
  <si>
    <t>h=a*e</t>
  </si>
  <si>
    <t>u(h)</t>
  </si>
  <si>
    <t>E</t>
  </si>
  <si>
    <t>E_kmax</t>
  </si>
  <si>
    <t>W</t>
  </si>
  <si>
    <t>v_0</t>
  </si>
  <si>
    <t>u(W)</t>
  </si>
  <si>
    <t>u(v_0)</t>
  </si>
  <si>
    <t>Kolor</t>
  </si>
  <si>
    <t>U_h [V] (dośw.)</t>
  </si>
  <si>
    <t>U_h [V] (teor.)</t>
  </si>
  <si>
    <t>f [Hz]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</si>
</sst>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2" fontId="0" fillId="0" borderId="2" xfId="0" applyNumberFormat="1" applyBorder="1"/>
    <xf numFmtId="0" fontId="0" fillId="0" borderId="5" xfId="0" applyBorder="1"/>
    <xf numFmtId="0" fontId="0" fillId="2" borderId="5" xfId="0" applyFill="1" applyBorder="1"/>
    <xf numFmtId="0" fontId="0" fillId="2" borderId="4" xfId="0" applyFill="1" applyBorder="1"/>
    <xf numFmtId="0" fontId="0" fillId="3" borderId="5" xfId="0" applyFill="1" applyBorder="1"/>
    <xf numFmtId="0" fontId="0" fillId="3" borderId="4" xfId="0" applyFill="1" applyBorder="1"/>
    <xf numFmtId="0" fontId="0" fillId="4" borderId="5" xfId="0" applyFill="1" applyBorder="1"/>
    <xf numFmtId="0" fontId="0" fillId="4" borderId="4" xfId="0" applyFill="1" applyBorder="1"/>
    <xf numFmtId="0" fontId="0" fillId="5" borderId="5" xfId="0" applyFill="1" applyBorder="1"/>
    <xf numFmtId="0" fontId="0" fillId="5" borderId="4" xfId="0" applyFill="1" applyBorder="1"/>
    <xf numFmtId="0" fontId="1" fillId="2" borderId="5" xfId="0" applyFont="1" applyFill="1" applyBorder="1"/>
    <xf numFmtId="0" fontId="1" fillId="3" borderId="5" xfId="0" applyFont="1" applyFill="1" applyBorder="1"/>
    <xf numFmtId="0" fontId="1" fillId="4" borderId="5" xfId="0" applyFont="1" applyFill="1" applyBorder="1"/>
    <xf numFmtId="0" fontId="1" fillId="5" borderId="5" xfId="0" applyFont="1" applyFill="1" applyBorder="1"/>
    <xf numFmtId="0" fontId="0" fillId="6" borderId="5" xfId="0" applyFill="1" applyBorder="1"/>
    <xf numFmtId="0" fontId="0" fillId="6" borderId="4" xfId="0" applyFill="1" applyBorder="1"/>
    <xf numFmtId="0" fontId="0" fillId="0" borderId="6" xfId="0" applyBorder="1"/>
    <xf numFmtId="0" fontId="0" fillId="0" borderId="7" xfId="0" applyBorder="1"/>
    <xf numFmtId="0" fontId="1" fillId="6" borderId="3" xfId="0" applyFont="1" applyFill="1" applyBorder="1"/>
    <xf numFmtId="0" fontId="0" fillId="0" borderId="8" xfId="0" applyBorder="1"/>
    <xf numFmtId="0" fontId="0" fillId="0" borderId="9" xfId="0" applyBorder="1"/>
    <xf numFmtId="0" fontId="1" fillId="2" borderId="3" xfId="0" applyFont="1" applyFill="1" applyBorder="1"/>
    <xf numFmtId="0" fontId="1" fillId="3" borderId="3" xfId="0" applyFont="1" applyFill="1" applyBorder="1"/>
    <xf numFmtId="0" fontId="1" fillId="4" borderId="3" xfId="0" applyFont="1" applyFill="1" applyBorder="1"/>
    <xf numFmtId="0" fontId="0" fillId="0" borderId="1" xfId="0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Biały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Arkusz1!$D$20:$D$30</c:f>
              <c:numCache>
                <c:formatCode>General</c:formatCode>
                <c:ptCount val="11"/>
                <c:pt idx="0">
                  <c:v>0.495</c:v>
                </c:pt>
                <c:pt idx="1">
                  <c:v>0.40799999999999997</c:v>
                </c:pt>
                <c:pt idx="2">
                  <c:v>0.34499999999999997</c:v>
                </c:pt>
                <c:pt idx="3">
                  <c:v>0.28899999999999998</c:v>
                </c:pt>
                <c:pt idx="4">
                  <c:v>0.23899999999999999</c:v>
                </c:pt>
                <c:pt idx="5">
                  <c:v>0.19600000000000001</c:v>
                </c:pt>
                <c:pt idx="6">
                  <c:v>0.153</c:v>
                </c:pt>
                <c:pt idx="7">
                  <c:v>0.114</c:v>
                </c:pt>
                <c:pt idx="8">
                  <c:v>7.5999999999999998E-2</c:v>
                </c:pt>
                <c:pt idx="9">
                  <c:v>4.1000000000000002E-2</c:v>
                </c:pt>
                <c:pt idx="10">
                  <c:v>5.0000000000000001E-3</c:v>
                </c:pt>
              </c:numCache>
            </c:numRef>
          </c:xVal>
          <c:yVal>
            <c:numRef>
              <c:f>Arkusz1!$C$20:$C$30</c:f>
              <c:numCache>
                <c:formatCode>General</c:formatCode>
                <c:ptCount val="11"/>
                <c:pt idx="0">
                  <c:v>0</c:v>
                </c:pt>
                <c:pt idx="1">
                  <c:v>0.41</c:v>
                </c:pt>
                <c:pt idx="2">
                  <c:v>0.8</c:v>
                </c:pt>
                <c:pt idx="3">
                  <c:v>1.2</c:v>
                </c:pt>
                <c:pt idx="4">
                  <c:v>1.6</c:v>
                </c:pt>
                <c:pt idx="5">
                  <c:v>2</c:v>
                </c:pt>
                <c:pt idx="6">
                  <c:v>2.4</c:v>
                </c:pt>
                <c:pt idx="7">
                  <c:v>2.8</c:v>
                </c:pt>
                <c:pt idx="8">
                  <c:v>3.2</c:v>
                </c:pt>
                <c:pt idx="9">
                  <c:v>3.6</c:v>
                </c:pt>
                <c:pt idx="10">
                  <c:v>4.0199999999999996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A2-4C0B-B4B0-F864EE423694}"/>
            </c:ext>
          </c:extLst>
        </c:ser>
        <c:ser>
          <c:idx val="1"/>
          <c:order val="1"/>
          <c:tx>
            <c:v>Niebieski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Arkusz1!$G$20:$G$30</c:f>
              <c:numCache>
                <c:formatCode>General</c:formatCode>
                <c:ptCount val="11"/>
                <c:pt idx="0">
                  <c:v>0.56599999999999995</c:v>
                </c:pt>
                <c:pt idx="1">
                  <c:v>0.45200000000000001</c:v>
                </c:pt>
                <c:pt idx="2">
                  <c:v>0.36599999999999999</c:v>
                </c:pt>
                <c:pt idx="3">
                  <c:v>0.30399999999999999</c:v>
                </c:pt>
                <c:pt idx="4">
                  <c:v>0.252</c:v>
                </c:pt>
                <c:pt idx="5">
                  <c:v>0.20799999999999999</c:v>
                </c:pt>
                <c:pt idx="6">
                  <c:v>0.161</c:v>
                </c:pt>
                <c:pt idx="7">
                  <c:v>0.122</c:v>
                </c:pt>
                <c:pt idx="8">
                  <c:v>8.5000000000000006E-2</c:v>
                </c:pt>
                <c:pt idx="9">
                  <c:v>4.4999999999999998E-2</c:v>
                </c:pt>
                <c:pt idx="10">
                  <c:v>1.6E-2</c:v>
                </c:pt>
              </c:numCache>
            </c:numRef>
          </c:xVal>
          <c:yVal>
            <c:numRef>
              <c:f>Arkusz1!$F$20:$F$30</c:f>
              <c:numCache>
                <c:formatCode>General</c:formatCode>
                <c:ptCount val="11"/>
                <c:pt idx="0">
                  <c:v>0</c:v>
                </c:pt>
                <c:pt idx="1">
                  <c:v>0.2</c:v>
                </c:pt>
                <c:pt idx="2">
                  <c:v>0.41</c:v>
                </c:pt>
                <c:pt idx="3">
                  <c:v>0.61</c:v>
                </c:pt>
                <c:pt idx="4">
                  <c:v>0.81</c:v>
                </c:pt>
                <c:pt idx="5">
                  <c:v>1</c:v>
                </c:pt>
                <c:pt idx="6">
                  <c:v>1.2</c:v>
                </c:pt>
                <c:pt idx="7">
                  <c:v>1.41</c:v>
                </c:pt>
                <c:pt idx="8">
                  <c:v>1.6</c:v>
                </c:pt>
                <c:pt idx="9">
                  <c:v>1.83</c:v>
                </c:pt>
                <c:pt idx="10">
                  <c:v>2.0099999999999998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2A2-4C0B-B4B0-F864EE423694}"/>
            </c:ext>
          </c:extLst>
        </c:ser>
        <c:ser>
          <c:idx val="2"/>
          <c:order val="2"/>
          <c:tx>
            <c:v>Zielony</c:v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Arkusz1!$J$20:$J$30</c:f>
              <c:numCache>
                <c:formatCode>General</c:formatCode>
                <c:ptCount val="11"/>
                <c:pt idx="0">
                  <c:v>0.443</c:v>
                </c:pt>
                <c:pt idx="1">
                  <c:v>0.35099999999999998</c:v>
                </c:pt>
                <c:pt idx="2">
                  <c:v>0.29299999999999998</c:v>
                </c:pt>
                <c:pt idx="3">
                  <c:v>0.24</c:v>
                </c:pt>
                <c:pt idx="4">
                  <c:v>0.19500000000000001</c:v>
                </c:pt>
                <c:pt idx="5">
                  <c:v>0.155</c:v>
                </c:pt>
                <c:pt idx="6">
                  <c:v>0.11899999999999999</c:v>
                </c:pt>
                <c:pt idx="7">
                  <c:v>8.3000000000000004E-2</c:v>
                </c:pt>
                <c:pt idx="8">
                  <c:v>4.8000000000000001E-2</c:v>
                </c:pt>
                <c:pt idx="9">
                  <c:v>1.7999999999999999E-2</c:v>
                </c:pt>
                <c:pt idx="10">
                  <c:v>0</c:v>
                </c:pt>
              </c:numCache>
            </c:numRef>
          </c:xVal>
          <c:yVal>
            <c:numRef>
              <c:f>Arkusz1!$I$20:$I$30</c:f>
              <c:numCache>
                <c:formatCode>General</c:formatCode>
                <c:ptCount val="11"/>
                <c:pt idx="0">
                  <c:v>0</c:v>
                </c:pt>
                <c:pt idx="1">
                  <c:v>0.2</c:v>
                </c:pt>
                <c:pt idx="2">
                  <c:v>0.39</c:v>
                </c:pt>
                <c:pt idx="3">
                  <c:v>0.6</c:v>
                </c:pt>
                <c:pt idx="4">
                  <c:v>0.81</c:v>
                </c:pt>
                <c:pt idx="5">
                  <c:v>1.01</c:v>
                </c:pt>
                <c:pt idx="6">
                  <c:v>1.2</c:v>
                </c:pt>
                <c:pt idx="7">
                  <c:v>1.41</c:v>
                </c:pt>
                <c:pt idx="8">
                  <c:v>1.61</c:v>
                </c:pt>
                <c:pt idx="9">
                  <c:v>1.8</c:v>
                </c:pt>
                <c:pt idx="10">
                  <c:v>1.93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2A2-4C0B-B4B0-F864EE423694}"/>
            </c:ext>
          </c:extLst>
        </c:ser>
        <c:ser>
          <c:idx val="3"/>
          <c:order val="3"/>
          <c:tx>
            <c:v>Żółty</c:v>
          </c:tx>
          <c:spPr>
            <a:ln w="25400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xVal>
            <c:numRef>
              <c:f>Arkusz1!$M$20:$M$30</c:f>
              <c:numCache>
                <c:formatCode>General</c:formatCode>
                <c:ptCount val="11"/>
                <c:pt idx="0">
                  <c:v>0.39900000000000002</c:v>
                </c:pt>
                <c:pt idx="1">
                  <c:v>0.33600000000000002</c:v>
                </c:pt>
                <c:pt idx="2">
                  <c:v>0.28000000000000003</c:v>
                </c:pt>
                <c:pt idx="3">
                  <c:v>0.23599999999999999</c:v>
                </c:pt>
                <c:pt idx="4">
                  <c:v>0.19400000000000001</c:v>
                </c:pt>
                <c:pt idx="5">
                  <c:v>0.156</c:v>
                </c:pt>
                <c:pt idx="6">
                  <c:v>0.121</c:v>
                </c:pt>
                <c:pt idx="7">
                  <c:v>8.8999999999999996E-2</c:v>
                </c:pt>
                <c:pt idx="8">
                  <c:v>5.5E-2</c:v>
                </c:pt>
                <c:pt idx="9">
                  <c:v>2.4E-2</c:v>
                </c:pt>
                <c:pt idx="10">
                  <c:v>0</c:v>
                </c:pt>
              </c:numCache>
            </c:numRef>
          </c:xVal>
          <c:yVal>
            <c:numRef>
              <c:f>Arkusz1!$L$20:$L$30</c:f>
              <c:numCache>
                <c:formatCode>General</c:formatCode>
                <c:ptCount val="11"/>
                <c:pt idx="0">
                  <c:v>0</c:v>
                </c:pt>
                <c:pt idx="1">
                  <c:v>0.28999999999999998</c:v>
                </c:pt>
                <c:pt idx="2">
                  <c:v>0.6</c:v>
                </c:pt>
                <c:pt idx="3">
                  <c:v>0.89</c:v>
                </c:pt>
                <c:pt idx="4">
                  <c:v>1.2</c:v>
                </c:pt>
                <c:pt idx="5">
                  <c:v>1.5</c:v>
                </c:pt>
                <c:pt idx="6">
                  <c:v>1.8</c:v>
                </c:pt>
                <c:pt idx="7">
                  <c:v>2.09</c:v>
                </c:pt>
                <c:pt idx="8">
                  <c:v>2.4</c:v>
                </c:pt>
                <c:pt idx="9">
                  <c:v>2.69</c:v>
                </c:pt>
                <c:pt idx="10">
                  <c:v>2.93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2A2-4C0B-B4B0-F864EE423694}"/>
            </c:ext>
          </c:extLst>
        </c:ser>
        <c:ser>
          <c:idx val="4"/>
          <c:order val="4"/>
          <c:tx>
            <c:v>Czerwony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Arkusz1!$P$20:$P$30</c:f>
              <c:numCache>
                <c:formatCode>General</c:formatCode>
                <c:ptCount val="11"/>
                <c:pt idx="0">
                  <c:v>0.26900000000000002</c:v>
                </c:pt>
                <c:pt idx="1">
                  <c:v>0.22800000000000001</c:v>
                </c:pt>
                <c:pt idx="2">
                  <c:v>0.192</c:v>
                </c:pt>
                <c:pt idx="3">
                  <c:v>0.16</c:v>
                </c:pt>
                <c:pt idx="4">
                  <c:v>0.128</c:v>
                </c:pt>
                <c:pt idx="5">
                  <c:v>0.10100000000000001</c:v>
                </c:pt>
                <c:pt idx="6">
                  <c:v>7.1999999999999995E-2</c:v>
                </c:pt>
                <c:pt idx="7">
                  <c:v>4.8000000000000001E-2</c:v>
                </c:pt>
                <c:pt idx="8">
                  <c:v>2.5999999999999999E-2</c:v>
                </c:pt>
                <c:pt idx="9">
                  <c:v>0.02</c:v>
                </c:pt>
                <c:pt idx="10">
                  <c:v>0</c:v>
                </c:pt>
              </c:numCache>
            </c:numRef>
          </c:xVal>
          <c:yVal>
            <c:numRef>
              <c:f>Arkusz1!$O$20:$O$30</c:f>
              <c:numCache>
                <c:formatCode>General</c:formatCode>
                <c:ptCount val="11"/>
                <c:pt idx="0">
                  <c:v>0</c:v>
                </c:pt>
                <c:pt idx="1">
                  <c:v>0.03</c:v>
                </c:pt>
                <c:pt idx="2">
                  <c:v>0.06</c:v>
                </c:pt>
                <c:pt idx="3">
                  <c:v>0.09</c:v>
                </c:pt>
                <c:pt idx="4">
                  <c:v>0.12</c:v>
                </c:pt>
                <c:pt idx="5">
                  <c:v>0.15</c:v>
                </c:pt>
                <c:pt idx="6">
                  <c:v>0.18</c:v>
                </c:pt>
                <c:pt idx="7">
                  <c:v>0.21</c:v>
                </c:pt>
                <c:pt idx="8">
                  <c:v>0.24</c:v>
                </c:pt>
                <c:pt idx="9">
                  <c:v>0.27</c:v>
                </c:pt>
                <c:pt idx="10">
                  <c:v>0.27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2A2-4C0B-B4B0-F864EE423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2770287"/>
        <c:axId val="1232771247"/>
      </c:scatterChart>
      <c:valAx>
        <c:axId val="1232770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U_(a-f)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2771247"/>
        <c:crosses val="autoZero"/>
        <c:crossBetween val="midCat"/>
      </c:valAx>
      <c:valAx>
        <c:axId val="123277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</a:t>
                </a:r>
                <a:r>
                  <a:rPr lang="pl-PL" baseline="0"/>
                  <a:t> </a:t>
                </a:r>
                <a:r>
                  <a:rPr lang="pl-PL"/>
                  <a:t>[uA]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2770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U_h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Arkusz1!$J$3:$J$7</c:f>
              <c:numCache>
                <c:formatCode>General</c:formatCode>
                <c:ptCount val="5"/>
                <c:pt idx="0">
                  <c:v>545077196363636.31</c:v>
                </c:pt>
                <c:pt idx="1">
                  <c:v>624567620833333.38</c:v>
                </c:pt>
                <c:pt idx="2">
                  <c:v>599584916000000</c:v>
                </c:pt>
                <c:pt idx="3">
                  <c:v>508122810169491.56</c:v>
                </c:pt>
                <c:pt idx="4">
                  <c:v>475861044444444.44</c:v>
                </c:pt>
              </c:numCache>
            </c:numRef>
          </c:xVal>
          <c:yVal>
            <c:numRef>
              <c:f>Arkusz1!$K$3:$K$7</c:f>
              <c:numCache>
                <c:formatCode>General</c:formatCode>
                <c:ptCount val="5"/>
                <c:pt idx="0">
                  <c:v>0.495</c:v>
                </c:pt>
                <c:pt idx="1">
                  <c:v>0.56599999999999995</c:v>
                </c:pt>
                <c:pt idx="2">
                  <c:v>0.443</c:v>
                </c:pt>
                <c:pt idx="3">
                  <c:v>0.39900000000000002</c:v>
                </c:pt>
                <c:pt idx="4">
                  <c:v>0.26800000000000002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EF-4E32-93BE-54A171BAD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686911"/>
        <c:axId val="501687391"/>
      </c:scatterChart>
      <c:valAx>
        <c:axId val="501686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Częstotliwość [Hz]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1687391"/>
        <c:crosses val="autoZero"/>
        <c:crossBetween val="midCat"/>
      </c:valAx>
      <c:valAx>
        <c:axId val="50168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Napięcie</a:t>
                </a:r>
                <a:r>
                  <a:rPr lang="pl-PL" baseline="0"/>
                  <a:t> hamowania [V]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1686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27215</xdr:colOff>
      <xdr:row>31</xdr:row>
      <xdr:rowOff>10374</xdr:rowOff>
    </xdr:from>
    <xdr:to>
      <xdr:col>4</xdr:col>
      <xdr:colOff>806225</xdr:colOff>
      <xdr:row>45</xdr:row>
      <xdr:rowOff>134199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8843A7C5-B5C7-EA88-897D-C18AEB18B3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25350</xdr:colOff>
      <xdr:row>0</xdr:row>
      <xdr:rowOff>179242</xdr:rowOff>
    </xdr:from>
    <xdr:to>
      <xdr:col>17</xdr:col>
      <xdr:colOff>243064</xdr:colOff>
      <xdr:row>15</xdr:row>
      <xdr:rowOff>126454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31E1DC7E-DC73-7651-B189-007D81C752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4DB7E-296C-4E9C-909E-44C0F0C7357E}">
  <dimension ref="B2:P37"/>
  <sheetViews>
    <sheetView tabSelected="1" topLeftCell="H14" zoomScale="102" zoomScaleNormal="115" workbookViewId="0">
      <selection activeCell="N35" sqref="N35"/>
    </sheetView>
  </sheetViews>
  <sheetFormatPr defaultRowHeight="14.6" x14ac:dyDescent="0.4"/>
  <cols>
    <col min="2" max="2" width="24.3828125" bestFit="1" customWidth="1"/>
    <col min="3" max="3" width="20" bestFit="1" customWidth="1"/>
    <col min="5" max="5" width="24.3828125" bestFit="1" customWidth="1"/>
    <col min="6" max="6" width="10.53515625" bestFit="1" customWidth="1"/>
    <col min="7" max="7" width="12.53515625" bestFit="1" customWidth="1"/>
    <col min="8" max="8" width="24.69140625" bestFit="1" customWidth="1"/>
    <col min="9" max="10" width="12.53515625" bestFit="1" customWidth="1"/>
    <col min="11" max="11" width="24.4609375" bestFit="1" customWidth="1"/>
    <col min="12" max="12" width="12.921875" bestFit="1" customWidth="1"/>
    <col min="13" max="13" width="11.84375" bestFit="1" customWidth="1"/>
    <col min="14" max="14" width="24.4609375" bestFit="1" customWidth="1"/>
  </cols>
  <sheetData>
    <row r="2" spans="2:12" x14ac:dyDescent="0.4">
      <c r="B2" s="1" t="s">
        <v>0</v>
      </c>
      <c r="C2" s="1" t="s">
        <v>20</v>
      </c>
      <c r="D2" s="1" t="s">
        <v>3</v>
      </c>
      <c r="E2" s="1" t="s">
        <v>1</v>
      </c>
      <c r="F2" s="3" t="s">
        <v>2</v>
      </c>
      <c r="G2" s="3" t="s">
        <v>17</v>
      </c>
      <c r="I2" s="1" t="s">
        <v>21</v>
      </c>
      <c r="J2" s="1" t="s">
        <v>33</v>
      </c>
      <c r="K2" s="1" t="s">
        <v>1</v>
      </c>
    </row>
    <row r="3" spans="2:12" x14ac:dyDescent="0.4">
      <c r="B3" s="23" t="s">
        <v>5</v>
      </c>
      <c r="C3" s="3">
        <f>299792458/(G3/1000000)</f>
        <v>545077196363636.31</v>
      </c>
      <c r="D3" s="2">
        <v>4.17</v>
      </c>
      <c r="E3" s="21">
        <v>0</v>
      </c>
      <c r="F3" s="21">
        <v>0.495</v>
      </c>
      <c r="G3" s="3">
        <v>0.55000000000000004</v>
      </c>
      <c r="I3" s="1" t="s">
        <v>5</v>
      </c>
      <c r="J3" s="1">
        <f>299792458/(G3/1000000)</f>
        <v>545077196363636.31</v>
      </c>
      <c r="K3" s="1">
        <v>0.495</v>
      </c>
    </row>
    <row r="4" spans="2:12" x14ac:dyDescent="0.4">
      <c r="B4" s="19"/>
      <c r="C4" s="3">
        <v>545</v>
      </c>
      <c r="D4" s="2">
        <v>1.55</v>
      </c>
      <c r="E4" s="21">
        <v>0.25</v>
      </c>
      <c r="F4" s="24"/>
      <c r="G4" s="6"/>
      <c r="I4" s="1" t="s">
        <v>16</v>
      </c>
      <c r="J4" s="1">
        <f>299792458/(G6/1000000)</f>
        <v>624567620833333.38</v>
      </c>
      <c r="K4" s="1">
        <v>0.56599999999999995</v>
      </c>
    </row>
    <row r="5" spans="2:12" x14ac:dyDescent="0.4">
      <c r="B5" s="20"/>
      <c r="C5" s="3" t="s">
        <v>18</v>
      </c>
      <c r="D5" s="2">
        <v>0</v>
      </c>
      <c r="E5" s="21">
        <v>0.495</v>
      </c>
      <c r="F5" s="25"/>
      <c r="G5" s="4"/>
      <c r="I5" s="1" t="s">
        <v>4</v>
      </c>
      <c r="J5" s="1">
        <f>299792458/(G9/1000000)</f>
        <v>599584916000000</v>
      </c>
      <c r="K5" s="1">
        <v>0.443</v>
      </c>
    </row>
    <row r="6" spans="2:12" x14ac:dyDescent="0.4">
      <c r="B6" s="26" t="s">
        <v>6</v>
      </c>
      <c r="C6" s="3">
        <f>299792458/(G6/1000000)</f>
        <v>624567620833333.38</v>
      </c>
      <c r="D6" s="5">
        <v>2.15</v>
      </c>
      <c r="E6" s="21">
        <v>0</v>
      </c>
      <c r="F6" s="21">
        <v>0.56599999999999995</v>
      </c>
      <c r="G6" s="3">
        <v>0.48</v>
      </c>
      <c r="I6" s="1" t="s">
        <v>7</v>
      </c>
      <c r="J6" s="1">
        <f>299792458/(G12/1000000)</f>
        <v>508122810169491.56</v>
      </c>
      <c r="K6" s="1">
        <v>0.39900000000000002</v>
      </c>
    </row>
    <row r="7" spans="2:12" x14ac:dyDescent="0.4">
      <c r="B7" s="7"/>
      <c r="C7" s="3">
        <v>625</v>
      </c>
      <c r="D7" s="2">
        <v>0.68</v>
      </c>
      <c r="E7" s="21">
        <v>0.28000000000000003</v>
      </c>
      <c r="F7" s="24"/>
      <c r="G7" s="6"/>
      <c r="I7" s="1" t="s">
        <v>8</v>
      </c>
      <c r="J7" s="1">
        <f>299792458/(G15/1000000)</f>
        <v>475861044444444.44</v>
      </c>
      <c r="K7" s="1">
        <v>0.26800000000000002</v>
      </c>
    </row>
    <row r="8" spans="2:12" x14ac:dyDescent="0.4">
      <c r="B8" s="8"/>
      <c r="C8" s="3" t="s">
        <v>18</v>
      </c>
      <c r="D8" s="2">
        <v>0</v>
      </c>
      <c r="E8" s="21">
        <v>0.56599999999999995</v>
      </c>
      <c r="F8" s="25"/>
      <c r="G8" s="4"/>
    </row>
    <row r="9" spans="2:12" x14ac:dyDescent="0.4">
      <c r="B9" s="27" t="s">
        <v>4</v>
      </c>
      <c r="C9" s="3">
        <f>299792458/(G9/1000000)</f>
        <v>599584916000000</v>
      </c>
      <c r="D9" s="2">
        <v>1.99</v>
      </c>
      <c r="E9" s="21">
        <v>0</v>
      </c>
      <c r="F9" s="21">
        <v>0.443</v>
      </c>
      <c r="G9" s="3">
        <v>0.5</v>
      </c>
      <c r="I9" t="s">
        <v>19</v>
      </c>
    </row>
    <row r="10" spans="2:12" x14ac:dyDescent="0.4">
      <c r="B10" s="9"/>
      <c r="C10" s="3">
        <v>600</v>
      </c>
      <c r="D10" s="2">
        <v>0.68</v>
      </c>
      <c r="E10" s="21">
        <v>0.22</v>
      </c>
      <c r="F10" s="24"/>
      <c r="G10" s="6"/>
      <c r="I10" cm="1">
        <f t="array" ref="I10:J14">LINEST(K3:K7,J3:J7,TRUE,TRUE)</f>
        <v>1.553876870753989E-15</v>
      </c>
      <c r="J10">
        <v>-0.42143098286899461</v>
      </c>
    </row>
    <row r="11" spans="2:12" x14ac:dyDescent="0.4">
      <c r="B11" s="10"/>
      <c r="C11" s="3" t="s">
        <v>18</v>
      </c>
      <c r="D11" s="2">
        <v>0</v>
      </c>
      <c r="E11" s="21">
        <v>0.443</v>
      </c>
      <c r="F11" s="25"/>
      <c r="G11" s="4"/>
      <c r="I11">
        <v>5.3407654053943366E-16</v>
      </c>
      <c r="J11">
        <v>0.29556477656501706</v>
      </c>
      <c r="K11" s="1" t="s">
        <v>28</v>
      </c>
    </row>
    <row r="12" spans="2:12" x14ac:dyDescent="0.4">
      <c r="B12" s="28" t="s">
        <v>7</v>
      </c>
      <c r="C12" s="3">
        <f>299792458/(G12/1000000)</f>
        <v>508122810169491.56</v>
      </c>
      <c r="D12" s="2">
        <v>3.03</v>
      </c>
      <c r="E12" s="21">
        <v>0</v>
      </c>
      <c r="F12" s="21">
        <v>0.39900000000000002</v>
      </c>
      <c r="G12" s="3">
        <v>0.59</v>
      </c>
      <c r="I12">
        <v>0.73833372139859521</v>
      </c>
      <c r="J12">
        <v>6.6043150693983713E-2</v>
      </c>
      <c r="K12" s="1">
        <f>K14*SQRT((J16/I16)^2+(L16/K16)^2)</f>
        <v>5.2734479245139972E-20</v>
      </c>
    </row>
    <row r="13" spans="2:12" x14ac:dyDescent="0.4">
      <c r="B13" s="11"/>
      <c r="C13" s="3">
        <v>508</v>
      </c>
      <c r="D13" s="2">
        <v>1.1399999999999999</v>
      </c>
      <c r="E13" s="21">
        <v>0.2</v>
      </c>
      <c r="F13" s="24"/>
      <c r="G13" s="6"/>
      <c r="I13">
        <v>8.4649851560349063</v>
      </c>
      <c r="J13">
        <v>3</v>
      </c>
      <c r="K13" s="1" t="s">
        <v>26</v>
      </c>
    </row>
    <row r="14" spans="2:12" x14ac:dyDescent="0.4">
      <c r="B14" s="12"/>
      <c r="C14" s="3" t="s">
        <v>18</v>
      </c>
      <c r="D14" s="2">
        <v>0</v>
      </c>
      <c r="E14" s="21">
        <v>0.39900000000000002</v>
      </c>
      <c r="F14" s="25"/>
      <c r="G14" s="4"/>
      <c r="I14">
        <v>3.6921706739235255E-2</v>
      </c>
      <c r="J14">
        <v>1.3085093260764721E-2</v>
      </c>
      <c r="K14" s="1">
        <f>K16*I16</f>
        <v>6.7520687359635748E-20</v>
      </c>
    </row>
    <row r="15" spans="2:12" x14ac:dyDescent="0.4">
      <c r="B15" s="18" t="s">
        <v>8</v>
      </c>
      <c r="C15" s="3">
        <f>299792458/(G15/1000000)</f>
        <v>475861044444444.44</v>
      </c>
      <c r="D15" s="22">
        <v>0.28999999999999998</v>
      </c>
      <c r="E15" s="25">
        <v>0</v>
      </c>
      <c r="F15" s="21">
        <v>0.26800000000000002</v>
      </c>
      <c r="G15" s="6">
        <v>0.63</v>
      </c>
      <c r="I15" s="1" t="s">
        <v>22</v>
      </c>
      <c r="J15" s="1" t="s">
        <v>23</v>
      </c>
      <c r="K15" s="1" t="s">
        <v>27</v>
      </c>
      <c r="L15" s="1" t="s">
        <v>29</v>
      </c>
    </row>
    <row r="16" spans="2:12" x14ac:dyDescent="0.4">
      <c r="B16" s="13"/>
      <c r="C16" s="6">
        <v>476</v>
      </c>
      <c r="D16" s="2">
        <v>0.13</v>
      </c>
      <c r="E16" s="21">
        <v>0.13</v>
      </c>
      <c r="F16" s="24"/>
      <c r="G16" s="6"/>
      <c r="I16" s="1">
        <f>I10*1.602176634*10^(-19)</f>
        <v>2.4895852144350794E-34</v>
      </c>
      <c r="J16" s="1">
        <f>I11*1.602*10^(-19)</f>
        <v>8.5559061794417276E-35</v>
      </c>
      <c r="K16" s="1">
        <f>-J10/I10</f>
        <v>271212597858222.38</v>
      </c>
      <c r="L16" s="1">
        <f>J11/I10</f>
        <v>190211195061806.88</v>
      </c>
    </row>
    <row r="17" spans="2:16" x14ac:dyDescent="0.4">
      <c r="B17" s="14"/>
      <c r="C17" s="4" t="s">
        <v>18</v>
      </c>
      <c r="D17" s="2">
        <v>0</v>
      </c>
      <c r="E17" s="21">
        <v>0.26800000000000002</v>
      </c>
      <c r="F17" s="25"/>
      <c r="G17" s="4"/>
    </row>
    <row r="19" spans="2:16" x14ac:dyDescent="0.4">
      <c r="B19" s="1" t="s">
        <v>9</v>
      </c>
      <c r="C19" s="1" t="s">
        <v>10</v>
      </c>
      <c r="D19" s="1" t="s">
        <v>11</v>
      </c>
      <c r="E19" s="1" t="s">
        <v>12</v>
      </c>
      <c r="F19" s="1" t="s">
        <v>10</v>
      </c>
      <c r="G19" s="1" t="s">
        <v>11</v>
      </c>
      <c r="H19" s="1" t="s">
        <v>13</v>
      </c>
      <c r="I19" s="1" t="s">
        <v>10</v>
      </c>
      <c r="J19" s="1" t="s">
        <v>11</v>
      </c>
      <c r="K19" s="1" t="s">
        <v>14</v>
      </c>
      <c r="L19" s="1" t="s">
        <v>10</v>
      </c>
      <c r="M19" s="1" t="s">
        <v>11</v>
      </c>
      <c r="N19" s="1" t="s">
        <v>15</v>
      </c>
      <c r="O19" s="1" t="s">
        <v>10</v>
      </c>
      <c r="P19" s="1" t="s">
        <v>11</v>
      </c>
    </row>
    <row r="20" spans="2:16" x14ac:dyDescent="0.4">
      <c r="B20" s="23" t="s">
        <v>5</v>
      </c>
      <c r="C20" s="1">
        <v>0</v>
      </c>
      <c r="D20" s="1">
        <v>0.495</v>
      </c>
      <c r="E20" s="15" t="s">
        <v>16</v>
      </c>
      <c r="F20" s="1">
        <v>0</v>
      </c>
      <c r="G20" s="1">
        <v>0.56599999999999995</v>
      </c>
      <c r="H20" s="16" t="s">
        <v>4</v>
      </c>
      <c r="I20" s="1">
        <v>0</v>
      </c>
      <c r="J20" s="1">
        <v>0.443</v>
      </c>
      <c r="K20" s="17" t="s">
        <v>7</v>
      </c>
      <c r="L20" s="1">
        <v>0</v>
      </c>
      <c r="M20" s="1">
        <v>0.39900000000000002</v>
      </c>
      <c r="N20" s="18" t="s">
        <v>8</v>
      </c>
      <c r="O20" s="1">
        <v>0</v>
      </c>
      <c r="P20" s="1">
        <v>0.26900000000000002</v>
      </c>
    </row>
    <row r="21" spans="2:16" x14ac:dyDescent="0.4">
      <c r="B21" s="19"/>
      <c r="C21" s="1">
        <v>0.41</v>
      </c>
      <c r="D21" s="1">
        <v>0.40799999999999997</v>
      </c>
      <c r="E21" s="7"/>
      <c r="F21" s="1">
        <v>0.2</v>
      </c>
      <c r="G21" s="1">
        <v>0.45200000000000001</v>
      </c>
      <c r="H21" s="9"/>
      <c r="I21" s="1">
        <v>0.2</v>
      </c>
      <c r="J21" s="1">
        <v>0.35099999999999998</v>
      </c>
      <c r="K21" s="11"/>
      <c r="L21" s="1">
        <v>0.28999999999999998</v>
      </c>
      <c r="M21" s="1">
        <v>0.33600000000000002</v>
      </c>
      <c r="N21" s="13"/>
      <c r="O21" s="1">
        <v>0.03</v>
      </c>
      <c r="P21" s="1">
        <v>0.22800000000000001</v>
      </c>
    </row>
    <row r="22" spans="2:16" x14ac:dyDescent="0.4">
      <c r="B22" s="19"/>
      <c r="C22" s="1">
        <v>0.8</v>
      </c>
      <c r="D22" s="1">
        <v>0.34499999999999997</v>
      </c>
      <c r="E22" s="7"/>
      <c r="F22" s="1">
        <v>0.41</v>
      </c>
      <c r="G22" s="1">
        <v>0.36599999999999999</v>
      </c>
      <c r="H22" s="9"/>
      <c r="I22" s="1">
        <v>0.39</v>
      </c>
      <c r="J22" s="1">
        <v>0.29299999999999998</v>
      </c>
      <c r="K22" s="11"/>
      <c r="L22" s="1">
        <v>0.6</v>
      </c>
      <c r="M22" s="1">
        <v>0.28000000000000003</v>
      </c>
      <c r="N22" s="13"/>
      <c r="O22" s="1">
        <v>0.06</v>
      </c>
      <c r="P22" s="1">
        <v>0.192</v>
      </c>
    </row>
    <row r="23" spans="2:16" x14ac:dyDescent="0.4">
      <c r="B23" s="19"/>
      <c r="C23" s="1">
        <v>1.2</v>
      </c>
      <c r="D23" s="1">
        <v>0.28899999999999998</v>
      </c>
      <c r="E23" s="7"/>
      <c r="F23" s="1">
        <v>0.61</v>
      </c>
      <c r="G23" s="1">
        <v>0.30399999999999999</v>
      </c>
      <c r="H23" s="9"/>
      <c r="I23" s="1">
        <v>0.6</v>
      </c>
      <c r="J23" s="1">
        <v>0.24</v>
      </c>
      <c r="K23" s="11"/>
      <c r="L23" s="1">
        <v>0.89</v>
      </c>
      <c r="M23" s="1">
        <v>0.23599999999999999</v>
      </c>
      <c r="N23" s="13"/>
      <c r="O23" s="1">
        <v>0.09</v>
      </c>
      <c r="P23" s="1">
        <v>0.16</v>
      </c>
    </row>
    <row r="24" spans="2:16" x14ac:dyDescent="0.4">
      <c r="B24" s="19"/>
      <c r="C24" s="1">
        <v>1.6</v>
      </c>
      <c r="D24" s="1">
        <v>0.23899999999999999</v>
      </c>
      <c r="E24" s="7"/>
      <c r="F24" s="1">
        <v>0.81</v>
      </c>
      <c r="G24" s="1">
        <v>0.252</v>
      </c>
      <c r="H24" s="9"/>
      <c r="I24" s="1">
        <v>0.81</v>
      </c>
      <c r="J24" s="1">
        <v>0.19500000000000001</v>
      </c>
      <c r="K24" s="11"/>
      <c r="L24" s="1">
        <v>1.2</v>
      </c>
      <c r="M24" s="1">
        <v>0.19400000000000001</v>
      </c>
      <c r="N24" s="13"/>
      <c r="O24" s="1">
        <v>0.12</v>
      </c>
      <c r="P24" s="1">
        <v>0.128</v>
      </c>
    </row>
    <row r="25" spans="2:16" x14ac:dyDescent="0.4">
      <c r="B25" s="19"/>
      <c r="C25" s="1">
        <v>2</v>
      </c>
      <c r="D25" s="1">
        <v>0.19600000000000001</v>
      </c>
      <c r="E25" s="7"/>
      <c r="F25" s="1">
        <v>1</v>
      </c>
      <c r="G25" s="1">
        <v>0.20799999999999999</v>
      </c>
      <c r="H25" s="9"/>
      <c r="I25" s="1">
        <v>1.01</v>
      </c>
      <c r="J25" s="1">
        <v>0.155</v>
      </c>
      <c r="K25" s="11"/>
      <c r="L25" s="1">
        <v>1.5</v>
      </c>
      <c r="M25" s="1">
        <v>0.156</v>
      </c>
      <c r="N25" s="13"/>
      <c r="O25" s="1">
        <v>0.15</v>
      </c>
      <c r="P25" s="1">
        <v>0.10100000000000001</v>
      </c>
    </row>
    <row r="26" spans="2:16" x14ac:dyDescent="0.4">
      <c r="B26" s="19"/>
      <c r="C26" s="1">
        <v>2.4</v>
      </c>
      <c r="D26" s="1">
        <v>0.153</v>
      </c>
      <c r="E26" s="7"/>
      <c r="F26" s="1">
        <v>1.2</v>
      </c>
      <c r="G26" s="1">
        <v>0.161</v>
      </c>
      <c r="H26" s="9"/>
      <c r="I26" s="1">
        <v>1.2</v>
      </c>
      <c r="J26" s="1">
        <v>0.11899999999999999</v>
      </c>
      <c r="K26" s="11"/>
      <c r="L26" s="1">
        <v>1.8</v>
      </c>
      <c r="M26" s="1">
        <v>0.121</v>
      </c>
      <c r="N26" s="13"/>
      <c r="O26" s="1">
        <v>0.18</v>
      </c>
      <c r="P26" s="1">
        <v>7.1999999999999995E-2</v>
      </c>
    </row>
    <row r="27" spans="2:16" x14ac:dyDescent="0.4">
      <c r="B27" s="19"/>
      <c r="C27" s="1">
        <v>2.8</v>
      </c>
      <c r="D27" s="1">
        <v>0.114</v>
      </c>
      <c r="E27" s="7"/>
      <c r="F27" s="1">
        <v>1.41</v>
      </c>
      <c r="G27" s="1">
        <v>0.122</v>
      </c>
      <c r="H27" s="9"/>
      <c r="I27" s="1">
        <v>1.41</v>
      </c>
      <c r="J27" s="1">
        <v>8.3000000000000004E-2</v>
      </c>
      <c r="K27" s="11"/>
      <c r="L27" s="1">
        <v>2.09</v>
      </c>
      <c r="M27" s="1">
        <v>8.8999999999999996E-2</v>
      </c>
      <c r="N27" s="13"/>
      <c r="O27" s="1">
        <v>0.21</v>
      </c>
      <c r="P27" s="1">
        <v>4.8000000000000001E-2</v>
      </c>
    </row>
    <row r="28" spans="2:16" x14ac:dyDescent="0.4">
      <c r="B28" s="19"/>
      <c r="C28" s="1">
        <v>3.2</v>
      </c>
      <c r="D28" s="1">
        <v>7.5999999999999998E-2</v>
      </c>
      <c r="E28" s="7"/>
      <c r="F28" s="1">
        <v>1.6</v>
      </c>
      <c r="G28" s="1">
        <v>8.5000000000000006E-2</v>
      </c>
      <c r="H28" s="9"/>
      <c r="I28" s="1">
        <v>1.61</v>
      </c>
      <c r="J28" s="1">
        <v>4.8000000000000001E-2</v>
      </c>
      <c r="K28" s="11"/>
      <c r="L28" s="1">
        <v>2.4</v>
      </c>
      <c r="M28" s="1">
        <v>5.5E-2</v>
      </c>
      <c r="N28" s="13"/>
      <c r="O28" s="1">
        <v>0.24</v>
      </c>
      <c r="P28" s="1">
        <v>2.5999999999999999E-2</v>
      </c>
    </row>
    <row r="29" spans="2:16" x14ac:dyDescent="0.4">
      <c r="B29" s="19"/>
      <c r="C29" s="1">
        <v>3.6</v>
      </c>
      <c r="D29" s="1">
        <v>4.1000000000000002E-2</v>
      </c>
      <c r="E29" s="7"/>
      <c r="F29" s="1">
        <v>1.83</v>
      </c>
      <c r="G29" s="1">
        <v>4.4999999999999998E-2</v>
      </c>
      <c r="H29" s="9"/>
      <c r="I29" s="1">
        <v>1.8</v>
      </c>
      <c r="J29" s="1">
        <v>1.7999999999999999E-2</v>
      </c>
      <c r="K29" s="11"/>
      <c r="L29" s="1">
        <v>2.69</v>
      </c>
      <c r="M29" s="1">
        <v>2.4E-2</v>
      </c>
      <c r="N29" s="13"/>
      <c r="O29" s="1">
        <v>0.27</v>
      </c>
      <c r="P29" s="1">
        <v>0.02</v>
      </c>
    </row>
    <row r="30" spans="2:16" x14ac:dyDescent="0.4">
      <c r="B30" s="20"/>
      <c r="C30" s="1">
        <v>4.0199999999999996</v>
      </c>
      <c r="D30" s="1">
        <v>5.0000000000000001E-3</v>
      </c>
      <c r="E30" s="8"/>
      <c r="F30" s="1">
        <v>2.0099999999999998</v>
      </c>
      <c r="G30" s="1">
        <v>1.6E-2</v>
      </c>
      <c r="H30" s="10"/>
      <c r="I30" s="1">
        <v>1.93</v>
      </c>
      <c r="J30" s="1">
        <v>0</v>
      </c>
      <c r="K30" s="12"/>
      <c r="L30" s="1">
        <v>2.93</v>
      </c>
      <c r="M30" s="1">
        <v>0</v>
      </c>
      <c r="N30" s="14"/>
      <c r="O30" s="1">
        <v>0.27</v>
      </c>
      <c r="P30" s="1">
        <v>0</v>
      </c>
    </row>
    <row r="32" spans="2:16" x14ac:dyDescent="0.4">
      <c r="F32" s="1" t="s">
        <v>21</v>
      </c>
      <c r="G32" s="1" t="s">
        <v>24</v>
      </c>
      <c r="H32" s="1" t="s">
        <v>25</v>
      </c>
      <c r="I32" s="1" t="s">
        <v>26</v>
      </c>
      <c r="K32" s="1" t="s">
        <v>30</v>
      </c>
      <c r="L32" s="29" t="s">
        <v>31</v>
      </c>
      <c r="M32" s="29" t="s">
        <v>32</v>
      </c>
    </row>
    <row r="33" spans="6:13" x14ac:dyDescent="0.4">
      <c r="F33" s="1" t="s">
        <v>5</v>
      </c>
      <c r="G33" s="1">
        <f>$I$16*C3</f>
        <v>1.3570161287926354E-19</v>
      </c>
      <c r="H33" s="1">
        <f>G33-I33</f>
        <v>7.9299000000000003E-20</v>
      </c>
      <c r="I33" s="1">
        <f>G33-K3*1.602*10^(-19)</f>
        <v>5.6402612879263535E-20</v>
      </c>
      <c r="K33" s="1" t="s">
        <v>5</v>
      </c>
      <c r="L33" s="1">
        <v>0.495</v>
      </c>
      <c r="M33" s="1">
        <f>4.135*10^(-15)*J3-0.421</f>
        <v>1.8328942069636363</v>
      </c>
    </row>
    <row r="34" spans="6:13" x14ac:dyDescent="0.4">
      <c r="F34" s="1" t="s">
        <v>16</v>
      </c>
      <c r="G34" s="1">
        <f>$I$16*C6</f>
        <v>1.5549143142415616E-19</v>
      </c>
      <c r="H34" s="1">
        <f t="shared" ref="H34:H37" si="0">G34-I34</f>
        <v>9.0673199999999999E-20</v>
      </c>
      <c r="I34" s="1">
        <f t="shared" ref="I34:I37" si="1">G34-K4*1.602*10^(-19)</f>
        <v>6.4818231424156165E-20</v>
      </c>
      <c r="K34" s="1" t="s">
        <v>16</v>
      </c>
      <c r="L34" s="1">
        <v>0.56599999999999995</v>
      </c>
      <c r="M34" s="1">
        <f t="shared" ref="M34:M37" si="2">4.135*10^(-15)*J4-0.421</f>
        <v>2.1615871121458339</v>
      </c>
    </row>
    <row r="35" spans="6:13" x14ac:dyDescent="0.4">
      <c r="F35" s="1" t="s">
        <v>4</v>
      </c>
      <c r="G35" s="1">
        <f>$I$16*C9</f>
        <v>1.492717741671899E-19</v>
      </c>
      <c r="H35" s="1">
        <f t="shared" si="0"/>
        <v>7.0968599999999997E-20</v>
      </c>
      <c r="I35" s="1">
        <f t="shared" si="1"/>
        <v>7.8303174167189908E-20</v>
      </c>
      <c r="K35" s="1" t="s">
        <v>4</v>
      </c>
      <c r="L35" s="1">
        <v>0.443</v>
      </c>
      <c r="M35" s="1">
        <f t="shared" si="2"/>
        <v>2.0582836276600003</v>
      </c>
    </row>
    <row r="36" spans="6:13" x14ac:dyDescent="0.4">
      <c r="F36" s="1" t="s">
        <v>7</v>
      </c>
      <c r="G36" s="1">
        <f>$I$16*C12</f>
        <v>1.2650150353151688E-19</v>
      </c>
      <c r="H36" s="1">
        <f t="shared" si="0"/>
        <v>6.3919800000000005E-20</v>
      </c>
      <c r="I36" s="1">
        <f t="shared" si="1"/>
        <v>6.2581703531516875E-20</v>
      </c>
      <c r="K36" s="1" t="s">
        <v>7</v>
      </c>
      <c r="L36" s="1">
        <v>0.39900000000000002</v>
      </c>
      <c r="M36" s="1">
        <f t="shared" si="2"/>
        <v>1.6800878200508478</v>
      </c>
    </row>
    <row r="37" spans="6:13" x14ac:dyDescent="0.4">
      <c r="F37" s="1" t="s">
        <v>8</v>
      </c>
      <c r="G37" s="1">
        <f>$I$16*C15</f>
        <v>1.1846966203745231E-19</v>
      </c>
      <c r="H37" s="1">
        <f t="shared" si="0"/>
        <v>4.29336E-20</v>
      </c>
      <c r="I37" s="1">
        <f t="shared" si="1"/>
        <v>7.5536062037452314E-20</v>
      </c>
      <c r="K37" s="1" t="s">
        <v>8</v>
      </c>
      <c r="L37" s="1">
        <v>0.26800000000000002</v>
      </c>
      <c r="M37" s="1">
        <f t="shared" si="2"/>
        <v>1.5466854187777779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Wojna</dc:creator>
  <cp:lastModifiedBy>Michał Wojna</cp:lastModifiedBy>
  <dcterms:created xsi:type="dcterms:W3CDTF">2025-04-11T14:48:48Z</dcterms:created>
  <dcterms:modified xsi:type="dcterms:W3CDTF">2025-04-25T10:20:37Z</dcterms:modified>
</cp:coreProperties>
</file>