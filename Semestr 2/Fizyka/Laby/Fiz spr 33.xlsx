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399764D1-98E9-4995-BED3-90F6892B5742}" xr6:coauthVersionLast="47" xr6:coauthVersionMax="47" xr10:uidLastSave="{00000000-0000-0000-0000-000000000000}"/>
  <bookViews>
    <workbookView xWindow="12257" yWindow="0" windowWidth="12514" windowHeight="15514" xr2:uid="{4DF9E8BC-0FDA-4861-A77B-D998935AE4D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D27" i="1"/>
  <c r="E27" i="1" s="1"/>
  <c r="F27" i="1" a="1"/>
  <c r="F27" i="1" s="1"/>
  <c r="I4" i="1"/>
  <c r="I5" i="1"/>
  <c r="I6" i="1"/>
  <c r="I7" i="1"/>
  <c r="I8" i="1"/>
  <c r="I3" i="1"/>
  <c r="C19" i="1"/>
  <c r="C10" i="1"/>
  <c r="H4" i="1"/>
  <c r="H5" i="1"/>
  <c r="H6" i="1"/>
  <c r="H7" i="1"/>
  <c r="H8" i="1"/>
  <c r="H3" i="1"/>
  <c r="E8" i="1"/>
  <c r="D8" i="1"/>
  <c r="C8" i="1"/>
  <c r="E7" i="1"/>
  <c r="D7" i="1"/>
  <c r="C7" i="1"/>
  <c r="C6" i="1"/>
  <c r="E5" i="1"/>
  <c r="E6" i="1" s="1"/>
  <c r="D5" i="1"/>
  <c r="C5" i="1"/>
  <c r="D6" i="1"/>
  <c r="E4" i="1"/>
  <c r="D4" i="1"/>
  <c r="C4" i="1"/>
  <c r="F3" i="1"/>
  <c r="C15" i="1"/>
  <c r="C13" i="1"/>
  <c r="D29" i="1" l="1"/>
  <c r="F6" i="1"/>
  <c r="F5" i="1"/>
  <c r="F4" i="1"/>
  <c r="F8" i="1" l="1"/>
  <c r="F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<sst xmlns="http://schemas.openxmlformats.org/spreadsheetml/2006/main" count="33" uniqueCount="30">
  <si>
    <t>Liczba przekładek</t>
  </si>
  <si>
    <t>d_1 [mm]</t>
  </si>
  <si>
    <t>d_2 [mm]</t>
  </si>
  <si>
    <t>d_3 [mm]</t>
  </si>
  <si>
    <t>d=(d_1+d_2+d_3)/3 [mm]</t>
  </si>
  <si>
    <t>C [pF]</t>
  </si>
  <si>
    <t>Cd [mm*pF]</t>
  </si>
  <si>
    <t>Materiał</t>
  </si>
  <si>
    <t>d [mm]</t>
  </si>
  <si>
    <t>C [nF]</t>
  </si>
  <si>
    <t>Średnica kondensatora</t>
  </si>
  <si>
    <t>Średnica przekładki</t>
  </si>
  <si>
    <t>Średnica wewnętrzna 2r -</t>
  </si>
  <si>
    <t>Średnica zewnętrzna 2R -</t>
  </si>
  <si>
    <t>Długość l -</t>
  </si>
  <si>
    <t>Pojemność kabla C -</t>
  </si>
  <si>
    <t>drewno</t>
  </si>
  <si>
    <t>ciemne drewno</t>
  </si>
  <si>
    <t>brudny plastik</t>
  </si>
  <si>
    <t>gruby clear plastik</t>
  </si>
  <si>
    <t>cienki clear plastik</t>
  </si>
  <si>
    <t>mm</t>
  </si>
  <si>
    <t>cm</t>
  </si>
  <si>
    <t>pf</t>
  </si>
  <si>
    <t>reglinp</t>
  </si>
  <si>
    <t>e_0</t>
  </si>
  <si>
    <t>Cd [m*pF]</t>
  </si>
  <si>
    <t>c</t>
  </si>
  <si>
    <t>u(e_0)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</si>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</sst>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Arkusz1!$F$3:$F$8</c:f>
              <c:numCache>
                <c:formatCode>General</c:formatCode>
                <c:ptCount val="6"/>
                <c:pt idx="0">
                  <c:v>1.9799999999999998</c:v>
                </c:pt>
                <c:pt idx="1">
                  <c:v>3.9533333333333331</c:v>
                </c:pt>
                <c:pt idx="2">
                  <c:v>5.93</c:v>
                </c:pt>
                <c:pt idx="3">
                  <c:v>7.8999999999999995</c:v>
                </c:pt>
                <c:pt idx="4">
                  <c:v>9.8766666666666669</c:v>
                </c:pt>
                <c:pt idx="5">
                  <c:v>13.729999999999999</c:v>
                </c:pt>
              </c:numCache>
            </c:numRef>
          </c:xVal>
          <c:yVal>
            <c:numRef>
              <c:f>Arkusz1!$H$3:$H$8</c:f>
              <c:numCache>
                <c:formatCode>General</c:formatCode>
                <c:ptCount val="6"/>
                <c:pt idx="0">
                  <c:v>443.51999999999992</c:v>
                </c:pt>
                <c:pt idx="1">
                  <c:v>472.02800000000002</c:v>
                </c:pt>
                <c:pt idx="2">
                  <c:v>499.30599999999998</c:v>
                </c:pt>
                <c:pt idx="3">
                  <c:v>520.61</c:v>
                </c:pt>
                <c:pt idx="4">
                  <c:v>544.20433333333335</c:v>
                </c:pt>
                <c:pt idx="5">
                  <c:v>586.27099999999996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3-4C52-B87A-710DE3EA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940656"/>
        <c:axId val="1509941616"/>
      </c:scatterChart>
      <c:valAx>
        <c:axId val="150994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9941616"/>
        <c:crosses val="autoZero"/>
        <c:crossBetween val="midCat"/>
      </c:valAx>
      <c:valAx>
        <c:axId val="15099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994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402771</xdr:colOff>
      <xdr:row>9</xdr:row>
      <xdr:rowOff>43543</xdr:rowOff>
    </xdr:from>
    <xdr:to>
      <xdr:col>10</xdr:col>
      <xdr:colOff>136071</xdr:colOff>
      <xdr:row>24</xdr:row>
      <xdr:rowOff>10886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AABE084-0E7A-205F-D80A-BA45E12E3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2686-387F-45E7-A800-4557AD1F70BC}">
  <dimension ref="B2:I31"/>
  <sheetViews>
    <sheetView tabSelected="1" topLeftCell="C4" workbookViewId="0">
      <selection activeCell="I30" sqref="I30"/>
    </sheetView>
  </sheetViews>
  <sheetFormatPr defaultRowHeight="14.6" x14ac:dyDescent="0.4"/>
  <cols>
    <col min="2" max="2" width="21.15234375" bestFit="1" customWidth="1"/>
    <col min="6" max="6" width="20.921875" bestFit="1" customWidth="1"/>
    <col min="7" max="7" width="11.84375" bestFit="1" customWidth="1"/>
    <col min="8" max="8" width="10.53515625" bestFit="1" customWidth="1"/>
    <col min="9" max="9" width="11.84375" bestFit="1" customWidth="1"/>
  </cols>
  <sheetData>
    <row r="2" spans="2:9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26</v>
      </c>
    </row>
    <row r="3" spans="2:9" x14ac:dyDescent="0.4">
      <c r="B3" s="1">
        <v>1</v>
      </c>
      <c r="C3" s="1">
        <v>1.98</v>
      </c>
      <c r="D3" s="1">
        <v>1.98</v>
      </c>
      <c r="E3" s="1">
        <v>1.98</v>
      </c>
      <c r="F3" s="1">
        <f>(C3+D3+E3)/3</f>
        <v>1.9799999999999998</v>
      </c>
      <c r="G3" s="1">
        <v>224</v>
      </c>
      <c r="H3" s="1">
        <f>F3*G3</f>
        <v>443.51999999999992</v>
      </c>
      <c r="I3">
        <f>H3/1000</f>
        <v>0.44351999999999991</v>
      </c>
    </row>
    <row r="4" spans="2:9" x14ac:dyDescent="0.4">
      <c r="B4" s="1">
        <v>2</v>
      </c>
      <c r="C4" s="1">
        <f>C3+1.98</f>
        <v>3.96</v>
      </c>
      <c r="D4" s="1">
        <f>D3+1.97</f>
        <v>3.95</v>
      </c>
      <c r="E4" s="1">
        <f>E3+1.97</f>
        <v>3.95</v>
      </c>
      <c r="F4" s="1">
        <f t="shared" ref="F4:F8" si="0">(C4+D4+E4)/3</f>
        <v>3.9533333333333331</v>
      </c>
      <c r="G4" s="1">
        <v>119.4</v>
      </c>
      <c r="H4" s="1">
        <f t="shared" ref="H4:H8" si="1">F4*G4</f>
        <v>472.02800000000002</v>
      </c>
      <c r="I4">
        <f t="shared" ref="I4:I8" si="2">H4/1000</f>
        <v>0.472028</v>
      </c>
    </row>
    <row r="5" spans="2:9" x14ac:dyDescent="0.4">
      <c r="B5" s="1">
        <v>3</v>
      </c>
      <c r="C5" s="1">
        <f>C4+1.97</f>
        <v>5.93</v>
      </c>
      <c r="D5" s="1">
        <f>D4+1.98</f>
        <v>5.93</v>
      </c>
      <c r="E5" s="1">
        <f>E4+1.98</f>
        <v>5.93</v>
      </c>
      <c r="F5" s="1">
        <f t="shared" si="0"/>
        <v>5.93</v>
      </c>
      <c r="G5" s="1">
        <v>84.2</v>
      </c>
      <c r="H5" s="1">
        <f t="shared" si="1"/>
        <v>499.30599999999998</v>
      </c>
      <c r="I5">
        <f t="shared" si="2"/>
        <v>0.49930599999999997</v>
      </c>
    </row>
    <row r="6" spans="2:9" x14ac:dyDescent="0.4">
      <c r="B6" s="1">
        <v>4</v>
      </c>
      <c r="C6" s="1">
        <f>C5+1.97</f>
        <v>7.8999999999999995</v>
      </c>
      <c r="D6" s="1">
        <f t="shared" ref="D6" si="3">D5+1.97</f>
        <v>7.8999999999999995</v>
      </c>
      <c r="E6" s="1">
        <f t="shared" ref="E6" si="4">E5+1.97</f>
        <v>7.8999999999999995</v>
      </c>
      <c r="F6" s="1">
        <f t="shared" si="0"/>
        <v>7.8999999999999995</v>
      </c>
      <c r="G6" s="1">
        <v>65.900000000000006</v>
      </c>
      <c r="H6" s="1">
        <f t="shared" si="1"/>
        <v>520.61</v>
      </c>
      <c r="I6">
        <f t="shared" si="2"/>
        <v>0.52061000000000002</v>
      </c>
    </row>
    <row r="7" spans="2:9" x14ac:dyDescent="0.4">
      <c r="B7" s="1">
        <v>5</v>
      </c>
      <c r="C7" s="1">
        <f>C6+1.97</f>
        <v>9.8699999999999992</v>
      </c>
      <c r="D7" s="1">
        <f>D6+1.98</f>
        <v>9.879999999999999</v>
      </c>
      <c r="E7" s="1">
        <f>E6+1.98</f>
        <v>9.879999999999999</v>
      </c>
      <c r="F7" s="1">
        <f t="shared" si="0"/>
        <v>9.8766666666666669</v>
      </c>
      <c r="G7" s="1">
        <v>55.1</v>
      </c>
      <c r="H7" s="1">
        <f t="shared" si="1"/>
        <v>544.20433333333335</v>
      </c>
      <c r="I7">
        <f t="shared" si="2"/>
        <v>0.5442043333333334</v>
      </c>
    </row>
    <row r="8" spans="2:9" x14ac:dyDescent="0.4">
      <c r="B8" s="1">
        <v>6</v>
      </c>
      <c r="C8" s="1">
        <f>C7+3.87</f>
        <v>13.739999999999998</v>
      </c>
      <c r="D8" s="1">
        <f>D7+3.85</f>
        <v>13.729999999999999</v>
      </c>
      <c r="E8" s="1">
        <f>E7+3.84</f>
        <v>13.719999999999999</v>
      </c>
      <c r="F8" s="1">
        <f t="shared" si="0"/>
        <v>13.729999999999999</v>
      </c>
      <c r="G8" s="1">
        <v>42.7</v>
      </c>
      <c r="H8" s="1">
        <f t="shared" si="1"/>
        <v>586.27099999999996</v>
      </c>
      <c r="I8">
        <f t="shared" si="2"/>
        <v>0.58627099999999999</v>
      </c>
    </row>
    <row r="9" spans="2:9" x14ac:dyDescent="0.4">
      <c r="B9" t="s">
        <v>10</v>
      </c>
      <c r="C9">
        <v>24</v>
      </c>
      <c r="D9" s="3" t="s">
        <v>22</v>
      </c>
      <c r="E9">
        <v>0.24</v>
      </c>
      <c r="F9" t="s">
        <v>29</v>
      </c>
    </row>
    <row r="10" spans="2:9" x14ac:dyDescent="0.4">
      <c r="B10" t="s">
        <v>11</v>
      </c>
      <c r="C10">
        <f>(19.04+19.5+19+19.7+19.64+19.58)/6</f>
        <v>19.41</v>
      </c>
      <c r="D10" s="3" t="s">
        <v>21</v>
      </c>
    </row>
    <row r="12" spans="2:9" x14ac:dyDescent="0.4">
      <c r="B12" s="1" t="s">
        <v>7</v>
      </c>
      <c r="C12" s="1" t="s">
        <v>8</v>
      </c>
      <c r="D12" s="1" t="s">
        <v>9</v>
      </c>
    </row>
    <row r="13" spans="2:9" x14ac:dyDescent="0.4">
      <c r="B13" s="1" t="s">
        <v>16</v>
      </c>
      <c r="C13">
        <f>(9.13+8.87+8.91+8.95+8.77+8.5+9.03+9.04+8.82+8.83)/10</f>
        <v>8.884999999999998</v>
      </c>
      <c r="D13" s="1">
        <v>154</v>
      </c>
    </row>
    <row r="14" spans="2:9" x14ac:dyDescent="0.4">
      <c r="B14" s="1" t="s">
        <v>20</v>
      </c>
      <c r="C14" s="1">
        <v>3.87</v>
      </c>
      <c r="D14" s="1">
        <v>336</v>
      </c>
    </row>
    <row r="15" spans="2:9" x14ac:dyDescent="0.4">
      <c r="B15" s="1" t="s">
        <v>17</v>
      </c>
      <c r="C15" s="1">
        <f>(6.44+6.23+6.34+6.35+6.34)/5</f>
        <v>6.34</v>
      </c>
      <c r="D15" s="1">
        <v>405</v>
      </c>
    </row>
    <row r="16" spans="2:9" x14ac:dyDescent="0.4">
      <c r="B16" s="1" t="s">
        <v>18</v>
      </c>
      <c r="C16" s="1">
        <v>3.24</v>
      </c>
      <c r="D16" s="1">
        <v>368</v>
      </c>
    </row>
    <row r="17" spans="2:9" x14ac:dyDescent="0.4">
      <c r="B17" s="1" t="s">
        <v>19</v>
      </c>
      <c r="C17" s="1">
        <v>9.94</v>
      </c>
      <c r="D17" s="1">
        <v>139</v>
      </c>
    </row>
    <row r="19" spans="2:9" x14ac:dyDescent="0.4">
      <c r="B19" t="s">
        <v>13</v>
      </c>
      <c r="C19">
        <f>(5.88+5.79+4.09+4.45)/4</f>
        <v>5.0525000000000002</v>
      </c>
      <c r="D19" t="s">
        <v>21</v>
      </c>
    </row>
    <row r="20" spans="2:9" x14ac:dyDescent="0.4">
      <c r="B20" t="s">
        <v>12</v>
      </c>
      <c r="C20">
        <v>1.1499999999999999</v>
      </c>
      <c r="D20" t="s">
        <v>21</v>
      </c>
    </row>
    <row r="21" spans="2:9" x14ac:dyDescent="0.4">
      <c r="B21" t="s">
        <v>14</v>
      </c>
      <c r="C21">
        <v>584</v>
      </c>
      <c r="D21" t="s">
        <v>21</v>
      </c>
    </row>
    <row r="22" spans="2:9" x14ac:dyDescent="0.4">
      <c r="B22" t="s">
        <v>15</v>
      </c>
      <c r="C22">
        <v>39.200000000000003</v>
      </c>
      <c r="D22" t="s">
        <v>23</v>
      </c>
    </row>
    <row r="26" spans="2:9" x14ac:dyDescent="0.4">
      <c r="D26" t="s">
        <v>25</v>
      </c>
      <c r="F26" t="s">
        <v>24</v>
      </c>
    </row>
    <row r="27" spans="2:9" x14ac:dyDescent="0.4">
      <c r="D27">
        <f>(4/PI())*(G27)/(C9*10^(-2))^2</f>
        <v>9.3700753816739901</v>
      </c>
      <c r="E27">
        <f>D27/10^(12)</f>
        <v>9.3700753816739902E-12</v>
      </c>
      <c r="F27" cm="1">
        <f t="array" ref="F27:G31">LINEST(I3:I8,F3:F8,TRUE,TRUE)</f>
        <v>1.2049480996827509E-2</v>
      </c>
      <c r="G27">
        <v>0.42389222375015401</v>
      </c>
    </row>
    <row r="28" spans="2:9" x14ac:dyDescent="0.4">
      <c r="D28" t="s">
        <v>27</v>
      </c>
      <c r="F28">
        <v>3.6281445717603562E-4</v>
      </c>
      <c r="G28">
        <v>2.9741403518353292E-3</v>
      </c>
      <c r="I28" t="s">
        <v>28</v>
      </c>
    </row>
    <row r="29" spans="2:9" x14ac:dyDescent="0.4">
      <c r="D29">
        <f>1/SQRT(E27*4*PI()*10^(-7))</f>
        <v>291422799.33525574</v>
      </c>
      <c r="F29">
        <v>0.99638656422344363</v>
      </c>
      <c r="G29">
        <v>3.4360803261050728E-3</v>
      </c>
      <c r="I29">
        <f>D27*SQRT((G28/G27)^2+2*(0.01/E9)^2)</f>
        <v>0.55603721629553593</v>
      </c>
    </row>
    <row r="30" spans="2:9" x14ac:dyDescent="0.4">
      <c r="F30">
        <v>1102.9796856364962</v>
      </c>
      <c r="G30">
        <v>4</v>
      </c>
    </row>
    <row r="31" spans="2:9" x14ac:dyDescent="0.4">
      <c r="F31">
        <v>1.3022492907673934E-2</v>
      </c>
      <c r="G31">
        <v>4.7226592029785376E-5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371023-5351-4a2c-b274-12e7bf1d72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4DC25A874A6A34FA57A1410CFDC29AE" ma:contentTypeVersion="6" ma:contentTypeDescription="Utwórz nowy dokument." ma:contentTypeScope="" ma:versionID="de29be2eeb6570250d9eb8c170bd4655">
  <xsd:schema xmlns:xsd="http://www.w3.org/2001/XMLSchema" xmlns:xs="http://www.w3.org/2001/XMLSchema" xmlns:p="http://schemas.microsoft.com/office/2006/metadata/properties" xmlns:ns3="5c371023-5351-4a2c-b274-12e7bf1d720d" targetNamespace="http://schemas.microsoft.com/office/2006/metadata/properties" ma:root="true" ma:fieldsID="cf7e7a1f441096d51b0fca13f0aea78d" ns3:_="">
    <xsd:import namespace="5c371023-5351-4a2c-b274-12e7bf1d72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1023-5351-4a2c-b274-12e7bf1d72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89ADD3-12ED-40E4-B6E4-104FDC601EB3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5c371023-5351-4a2c-b274-12e7bf1d720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7939AFF-D64A-4511-9E1F-0F968BE7E6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A7A1D7-DD8B-4B11-BA95-9ED0F7FFE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371023-5351-4a2c-b274-12e7bf1d72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2025-04-30T14:48:48Z</dcterms:created>
  <dcterms:modified xsi:type="dcterms:W3CDTF">2025-05-01T20:09:37Z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0x01010004DC25A874A6A34FA57A1410CFDC29AE</vt:lpwstr>
  </property>
</Properties>
</file>