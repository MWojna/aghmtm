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"/>
    </mc:Choice>
  </mc:AlternateContent>
  <xr:revisionPtr revIDLastSave="0" documentId="13_ncr:1_{6C1D09D3-B77E-4959-8C70-DEDD0FDBC0AA}" xr6:coauthVersionLast="47" xr6:coauthVersionMax="47" xr10:uidLastSave="{00000000-0000-0000-0000-000000000000}"/>
  <bookViews>
    <workbookView xWindow="-86" yWindow="0" windowWidth="12515" windowHeight="15514" xr2:uid="{990EF106-22B5-4688-A429-D2EDBA358D5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8" i="1" l="1"/>
  <c r="Y125" i="1"/>
  <c r="Y109" i="1"/>
  <c r="V124" i="1"/>
  <c r="Y122" i="1"/>
  <c r="Y120" i="1"/>
  <c r="Y121" i="1"/>
  <c r="Y119" i="1"/>
  <c r="Y102" i="1"/>
  <c r="X120" i="1"/>
  <c r="X121" i="1"/>
  <c r="X122" i="1"/>
  <c r="X119" i="1"/>
  <c r="Y115" i="1"/>
  <c r="Y113" i="1"/>
  <c r="Y114" i="1"/>
  <c r="Y112" i="1"/>
  <c r="X113" i="1"/>
  <c r="X114" i="1"/>
  <c r="X115" i="1"/>
  <c r="X112" i="1"/>
  <c r="X108" i="1"/>
  <c r="Y108" i="1" s="1"/>
  <c r="X107" i="1"/>
  <c r="Y107" i="1" s="1"/>
  <c r="X106" i="1"/>
  <c r="Y106" i="1" s="1"/>
  <c r="X105" i="1"/>
  <c r="Y105" i="1" s="1"/>
  <c r="X104" i="1"/>
  <c r="Y104" i="1" s="1"/>
  <c r="X103" i="1"/>
  <c r="Y103" i="1" s="1"/>
  <c r="X102" i="1"/>
  <c r="X101" i="1"/>
  <c r="Y101" i="1" s="1"/>
</calcChain>
</file>

<file path=xl/sharedStrings.xml><?xml version="1.0" encoding="utf-8"?>
<sst xmlns="http://schemas.openxmlformats.org/spreadsheetml/2006/main" count="53" uniqueCount="40">
  <si>
    <t>x [mm]</t>
  </si>
  <si>
    <t>I [mV]</t>
  </si>
  <si>
    <t>szczelina-fotodioda [cm]</t>
  </si>
  <si>
    <t>x[mm]</t>
  </si>
  <si>
    <t>Element obrazu dyfrakcyjnego</t>
  </si>
  <si>
    <t>Położenie z prawej x_p [mm]</t>
  </si>
  <si>
    <t>Położenie z lewej x_l [mm]</t>
  </si>
  <si>
    <t>x=(x_p-x_l)/2</t>
  </si>
  <si>
    <t>Obliczona szerokość szczeliny d [mm]</t>
  </si>
  <si>
    <t>um</t>
  </si>
  <si>
    <t>lambda   =</t>
  </si>
  <si>
    <t>1 minimum (P)</t>
  </si>
  <si>
    <t>1 maksimum boczne (P)</t>
  </si>
  <si>
    <t>2 minimum (P)</t>
  </si>
  <si>
    <t>2 maksimum boczne (P)</t>
  </si>
  <si>
    <t>1 minimum (L)</t>
  </si>
  <si>
    <t>1 maksimum boczne (L)</t>
  </si>
  <si>
    <t>2 minimum (L)</t>
  </si>
  <si>
    <t>2 maksimum boczne (L)</t>
  </si>
  <si>
    <t>Natężenie z lewej I_l [j. u.]</t>
  </si>
  <si>
    <t>Natężenie z prawej I_p [j. u.]</t>
  </si>
  <si>
    <t>Natężenie względne doświadczalne</t>
  </si>
  <si>
    <t>Natężenie względne teoretyczne</t>
  </si>
  <si>
    <t>Natężenie światła w maksimum głównym I_0=</t>
  </si>
  <si>
    <t>[j. u.]</t>
  </si>
  <si>
    <t>Numer maksimum |m|</t>
  </si>
  <si>
    <t>Obliczona odległość d [mm]</t>
  </si>
  <si>
    <t>1 (P)</t>
  </si>
  <si>
    <t>2 (P)</t>
  </si>
  <si>
    <t>1 (L)</t>
  </si>
  <si>
    <t>2 (L)</t>
  </si>
  <si>
    <t>x=(x_p+X_l)/2 [mm]</t>
  </si>
  <si>
    <t>Szczelina podwójna:</t>
  </si>
  <si>
    <t>Szczelina pojedyńcza:</t>
  </si>
  <si>
    <t>x_n [mm]</t>
  </si>
  <si>
    <t>I_min/I_max=</t>
  </si>
  <si>
    <t>średnia szerokość szczeliny =</t>
  </si>
  <si>
    <t>mm</t>
  </si>
  <si>
    <t>d_śr [mm]</t>
  </si>
  <si>
    <t>u(d)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</si>
</sst>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2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gora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Arkusz1!$B$4:$B$97</c:f>
              <c:numCache>
                <c:formatCode>General</c:formatCode>
                <c:ptCount val="94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5.9999999999999902</c:v>
                </c:pt>
                <c:pt idx="31">
                  <c:v>6.1999999999999904</c:v>
                </c:pt>
                <c:pt idx="32">
                  <c:v>6.3999999999999897</c:v>
                </c:pt>
                <c:pt idx="33">
                  <c:v>6.5999999999999899</c:v>
                </c:pt>
                <c:pt idx="34">
                  <c:v>6.7999999999999901</c:v>
                </c:pt>
                <c:pt idx="35">
                  <c:v>6.9999999999999902</c:v>
                </c:pt>
                <c:pt idx="36">
                  <c:v>7.1999999999999904</c:v>
                </c:pt>
                <c:pt idx="37">
                  <c:v>7.3999999999999897</c:v>
                </c:pt>
                <c:pt idx="38">
                  <c:v>7.5999999999999899</c:v>
                </c:pt>
                <c:pt idx="39">
                  <c:v>7.7999999999999901</c:v>
                </c:pt>
                <c:pt idx="40">
                  <c:v>7.9999999999999902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8.6000000000000103</c:v>
                </c:pt>
                <c:pt idx="44">
                  <c:v>8.8000000000000096</c:v>
                </c:pt>
                <c:pt idx="45">
                  <c:v>9.0000000000000107</c:v>
                </c:pt>
                <c:pt idx="46">
                  <c:v>9.2000000000000099</c:v>
                </c:pt>
                <c:pt idx="47">
                  <c:v>9.4000000000000092</c:v>
                </c:pt>
                <c:pt idx="48">
                  <c:v>9.6000000000000103</c:v>
                </c:pt>
                <c:pt idx="49">
                  <c:v>9.8000000000000096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</c:numCache>
            </c:numRef>
          </c:xVal>
          <c:yVal>
            <c:numRef>
              <c:f>Arkusz1!$C$4:$C$97</c:f>
              <c:numCache>
                <c:formatCode>General</c:formatCode>
                <c:ptCount val="94"/>
                <c:pt idx="0">
                  <c:v>8.8800000000000008</c:v>
                </c:pt>
                <c:pt idx="1">
                  <c:v>8.66</c:v>
                </c:pt>
                <c:pt idx="2">
                  <c:v>8.2899999999999991</c:v>
                </c:pt>
                <c:pt idx="3">
                  <c:v>7.65</c:v>
                </c:pt>
                <c:pt idx="4">
                  <c:v>7.17</c:v>
                </c:pt>
                <c:pt idx="5">
                  <c:v>6.88</c:v>
                </c:pt>
                <c:pt idx="6">
                  <c:v>6.77</c:v>
                </c:pt>
                <c:pt idx="7">
                  <c:v>6.81</c:v>
                </c:pt>
                <c:pt idx="8">
                  <c:v>6.8</c:v>
                </c:pt>
                <c:pt idx="9">
                  <c:v>6.91</c:v>
                </c:pt>
                <c:pt idx="10">
                  <c:v>6.91</c:v>
                </c:pt>
                <c:pt idx="11">
                  <c:v>6.92</c:v>
                </c:pt>
                <c:pt idx="12">
                  <c:v>6.81</c:v>
                </c:pt>
                <c:pt idx="13">
                  <c:v>6.51</c:v>
                </c:pt>
                <c:pt idx="14">
                  <c:v>6.21</c:v>
                </c:pt>
                <c:pt idx="15">
                  <c:v>5.78</c:v>
                </c:pt>
                <c:pt idx="16">
                  <c:v>5.0999999999999996</c:v>
                </c:pt>
                <c:pt idx="17">
                  <c:v>4.4000000000000004</c:v>
                </c:pt>
                <c:pt idx="18">
                  <c:v>3.6</c:v>
                </c:pt>
                <c:pt idx="19">
                  <c:v>2.91</c:v>
                </c:pt>
                <c:pt idx="20">
                  <c:v>2.4500000000000002</c:v>
                </c:pt>
                <c:pt idx="21">
                  <c:v>1.94</c:v>
                </c:pt>
                <c:pt idx="22">
                  <c:v>1.56</c:v>
                </c:pt>
                <c:pt idx="23">
                  <c:v>1.21</c:v>
                </c:pt>
                <c:pt idx="24">
                  <c:v>0.93</c:v>
                </c:pt>
                <c:pt idx="25">
                  <c:v>0.75</c:v>
                </c:pt>
                <c:pt idx="26">
                  <c:v>0.57999999999999996</c:v>
                </c:pt>
                <c:pt idx="27">
                  <c:v>0.43</c:v>
                </c:pt>
                <c:pt idx="28">
                  <c:v>0.3</c:v>
                </c:pt>
                <c:pt idx="29">
                  <c:v>0.2</c:v>
                </c:pt>
                <c:pt idx="30">
                  <c:v>0.12</c:v>
                </c:pt>
                <c:pt idx="31">
                  <c:v>0.05</c:v>
                </c:pt>
                <c:pt idx="32">
                  <c:v>0.04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0.05</c:v>
                </c:pt>
                <c:pt idx="40">
                  <c:v>7.0000000000000007E-2</c:v>
                </c:pt>
                <c:pt idx="41">
                  <c:v>0.1</c:v>
                </c:pt>
                <c:pt idx="42">
                  <c:v>0.11</c:v>
                </c:pt>
                <c:pt idx="43">
                  <c:v>0.12</c:v>
                </c:pt>
                <c:pt idx="44">
                  <c:v>0.15</c:v>
                </c:pt>
                <c:pt idx="45">
                  <c:v>0.18</c:v>
                </c:pt>
                <c:pt idx="46">
                  <c:v>0.2</c:v>
                </c:pt>
                <c:pt idx="47">
                  <c:v>0.2</c:v>
                </c:pt>
                <c:pt idx="48">
                  <c:v>0.19</c:v>
                </c:pt>
                <c:pt idx="49">
                  <c:v>0.19</c:v>
                </c:pt>
                <c:pt idx="50">
                  <c:v>0.2</c:v>
                </c:pt>
                <c:pt idx="51">
                  <c:v>0.2</c:v>
                </c:pt>
                <c:pt idx="52">
                  <c:v>0.16</c:v>
                </c:pt>
                <c:pt idx="53">
                  <c:v>0.13</c:v>
                </c:pt>
                <c:pt idx="54">
                  <c:v>0.11</c:v>
                </c:pt>
                <c:pt idx="55">
                  <c:v>0.09</c:v>
                </c:pt>
                <c:pt idx="56">
                  <c:v>7.0000000000000007E-2</c:v>
                </c:pt>
                <c:pt idx="57">
                  <c:v>0.04</c:v>
                </c:pt>
                <c:pt idx="58">
                  <c:v>0.03</c:v>
                </c:pt>
                <c:pt idx="59">
                  <c:v>0.02</c:v>
                </c:pt>
                <c:pt idx="60">
                  <c:v>0.01</c:v>
                </c:pt>
                <c:pt idx="61">
                  <c:v>0.01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0.01</c:v>
                </c:pt>
                <c:pt idx="69">
                  <c:v>0.01</c:v>
                </c:pt>
                <c:pt idx="70">
                  <c:v>0.02</c:v>
                </c:pt>
                <c:pt idx="71">
                  <c:v>0.03</c:v>
                </c:pt>
                <c:pt idx="72">
                  <c:v>0.04</c:v>
                </c:pt>
                <c:pt idx="73">
                  <c:v>0.04</c:v>
                </c:pt>
                <c:pt idx="74">
                  <c:v>0.05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0.01</c:v>
                </c:pt>
                <c:pt idx="88">
                  <c:v>0.01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B-4A2A-A02D-EBAE144A777F}"/>
            </c:ext>
          </c:extLst>
        </c:ser>
        <c:ser>
          <c:idx val="1"/>
          <c:order val="1"/>
          <c:tx>
            <c:v>dol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Arkusz1!$E$4:$E$89</c:f>
              <c:numCache>
                <c:formatCode>General</c:formatCode>
                <c:ptCount val="86"/>
                <c:pt idx="0">
                  <c:v>0</c:v>
                </c:pt>
                <c:pt idx="1">
                  <c:v>-0.2</c:v>
                </c:pt>
                <c:pt idx="2">
                  <c:v>-0.4</c:v>
                </c:pt>
                <c:pt idx="3">
                  <c:v>-0.6</c:v>
                </c:pt>
                <c:pt idx="4">
                  <c:v>-0.8</c:v>
                </c:pt>
                <c:pt idx="5">
                  <c:v>-1</c:v>
                </c:pt>
                <c:pt idx="6">
                  <c:v>-1.2</c:v>
                </c:pt>
                <c:pt idx="7">
                  <c:v>-1.4</c:v>
                </c:pt>
                <c:pt idx="8">
                  <c:v>-1.6</c:v>
                </c:pt>
                <c:pt idx="9">
                  <c:v>-1.8</c:v>
                </c:pt>
                <c:pt idx="10">
                  <c:v>-2</c:v>
                </c:pt>
                <c:pt idx="11">
                  <c:v>-2.2000000000000002</c:v>
                </c:pt>
                <c:pt idx="12">
                  <c:v>-2.4</c:v>
                </c:pt>
                <c:pt idx="13">
                  <c:v>-2.6</c:v>
                </c:pt>
                <c:pt idx="14">
                  <c:v>-2.8</c:v>
                </c:pt>
                <c:pt idx="15">
                  <c:v>-3</c:v>
                </c:pt>
                <c:pt idx="16">
                  <c:v>-3.2</c:v>
                </c:pt>
                <c:pt idx="17">
                  <c:v>-3.4</c:v>
                </c:pt>
                <c:pt idx="18">
                  <c:v>-3.6</c:v>
                </c:pt>
                <c:pt idx="19">
                  <c:v>-3.8</c:v>
                </c:pt>
                <c:pt idx="20">
                  <c:v>-4</c:v>
                </c:pt>
                <c:pt idx="21">
                  <c:v>-4.2</c:v>
                </c:pt>
                <c:pt idx="22">
                  <c:v>-4.4000000000000004</c:v>
                </c:pt>
                <c:pt idx="23">
                  <c:v>-4.5999999999999996</c:v>
                </c:pt>
                <c:pt idx="24">
                  <c:v>-4.8</c:v>
                </c:pt>
                <c:pt idx="25">
                  <c:v>-5</c:v>
                </c:pt>
                <c:pt idx="26">
                  <c:v>-5.2</c:v>
                </c:pt>
                <c:pt idx="27">
                  <c:v>-5.4</c:v>
                </c:pt>
                <c:pt idx="28">
                  <c:v>-5.6</c:v>
                </c:pt>
                <c:pt idx="29">
                  <c:v>-5.8</c:v>
                </c:pt>
                <c:pt idx="30">
                  <c:v>-6</c:v>
                </c:pt>
                <c:pt idx="31">
                  <c:v>-6.2</c:v>
                </c:pt>
                <c:pt idx="32">
                  <c:v>-6.4</c:v>
                </c:pt>
                <c:pt idx="33">
                  <c:v>-6.6</c:v>
                </c:pt>
                <c:pt idx="34">
                  <c:v>-6.8</c:v>
                </c:pt>
                <c:pt idx="35">
                  <c:v>-7</c:v>
                </c:pt>
                <c:pt idx="36">
                  <c:v>-7.2</c:v>
                </c:pt>
                <c:pt idx="37">
                  <c:v>-7.4</c:v>
                </c:pt>
                <c:pt idx="38">
                  <c:v>-7.6</c:v>
                </c:pt>
                <c:pt idx="39">
                  <c:v>-7.8</c:v>
                </c:pt>
                <c:pt idx="40">
                  <c:v>-8</c:v>
                </c:pt>
                <c:pt idx="41">
                  <c:v>-8.1999999999999993</c:v>
                </c:pt>
                <c:pt idx="42">
                  <c:v>-8.4</c:v>
                </c:pt>
                <c:pt idx="43">
                  <c:v>-8.6</c:v>
                </c:pt>
                <c:pt idx="44">
                  <c:v>-8.8000000000000007</c:v>
                </c:pt>
                <c:pt idx="45">
                  <c:v>-9</c:v>
                </c:pt>
                <c:pt idx="46">
                  <c:v>-9.1999999999999993</c:v>
                </c:pt>
                <c:pt idx="47">
                  <c:v>-9.4</c:v>
                </c:pt>
                <c:pt idx="48">
                  <c:v>-9.6</c:v>
                </c:pt>
                <c:pt idx="49">
                  <c:v>-9.8000000000000007</c:v>
                </c:pt>
                <c:pt idx="50">
                  <c:v>-10</c:v>
                </c:pt>
                <c:pt idx="51">
                  <c:v>-10.199999999999999</c:v>
                </c:pt>
                <c:pt idx="52">
                  <c:v>-10.4</c:v>
                </c:pt>
                <c:pt idx="53">
                  <c:v>-10.6</c:v>
                </c:pt>
                <c:pt idx="54">
                  <c:v>-10.8</c:v>
                </c:pt>
                <c:pt idx="55">
                  <c:v>-11</c:v>
                </c:pt>
                <c:pt idx="56">
                  <c:v>-11.2</c:v>
                </c:pt>
                <c:pt idx="57">
                  <c:v>-11.4</c:v>
                </c:pt>
                <c:pt idx="58">
                  <c:v>-11.6</c:v>
                </c:pt>
                <c:pt idx="59">
                  <c:v>-11.8</c:v>
                </c:pt>
                <c:pt idx="60">
                  <c:v>-12</c:v>
                </c:pt>
                <c:pt idx="61">
                  <c:v>-12.2</c:v>
                </c:pt>
                <c:pt idx="62">
                  <c:v>-12.4</c:v>
                </c:pt>
                <c:pt idx="63">
                  <c:v>-12.6</c:v>
                </c:pt>
                <c:pt idx="64">
                  <c:v>-12.8</c:v>
                </c:pt>
                <c:pt idx="65">
                  <c:v>-13</c:v>
                </c:pt>
                <c:pt idx="66">
                  <c:v>-13.2</c:v>
                </c:pt>
                <c:pt idx="67">
                  <c:v>-13.4</c:v>
                </c:pt>
                <c:pt idx="68">
                  <c:v>-13.6</c:v>
                </c:pt>
                <c:pt idx="69">
                  <c:v>-13.8</c:v>
                </c:pt>
                <c:pt idx="70">
                  <c:v>-14</c:v>
                </c:pt>
                <c:pt idx="71">
                  <c:v>-14.2</c:v>
                </c:pt>
                <c:pt idx="72">
                  <c:v>-14.4</c:v>
                </c:pt>
                <c:pt idx="73">
                  <c:v>-14.6</c:v>
                </c:pt>
                <c:pt idx="74">
                  <c:v>-14.8</c:v>
                </c:pt>
                <c:pt idx="75">
                  <c:v>-15</c:v>
                </c:pt>
                <c:pt idx="76">
                  <c:v>-15.2</c:v>
                </c:pt>
                <c:pt idx="77">
                  <c:v>-15.4</c:v>
                </c:pt>
                <c:pt idx="78">
                  <c:v>-15.6</c:v>
                </c:pt>
                <c:pt idx="79">
                  <c:v>-15.8</c:v>
                </c:pt>
                <c:pt idx="80">
                  <c:v>-16</c:v>
                </c:pt>
                <c:pt idx="81">
                  <c:v>-16.2</c:v>
                </c:pt>
                <c:pt idx="82">
                  <c:v>-16.399999999999999</c:v>
                </c:pt>
                <c:pt idx="83">
                  <c:v>-16.600000000000001</c:v>
                </c:pt>
                <c:pt idx="84">
                  <c:v>-16.8</c:v>
                </c:pt>
                <c:pt idx="85">
                  <c:v>-17</c:v>
                </c:pt>
              </c:numCache>
            </c:numRef>
          </c:xVal>
          <c:yVal>
            <c:numRef>
              <c:f>Arkusz1!$F$4:$F$89</c:f>
              <c:numCache>
                <c:formatCode>General</c:formatCode>
                <c:ptCount val="86"/>
                <c:pt idx="0">
                  <c:v>8.8000000000000007</c:v>
                </c:pt>
                <c:pt idx="1">
                  <c:v>8.16</c:v>
                </c:pt>
                <c:pt idx="2">
                  <c:v>7.71</c:v>
                </c:pt>
                <c:pt idx="3">
                  <c:v>7.29</c:v>
                </c:pt>
                <c:pt idx="4">
                  <c:v>6.43</c:v>
                </c:pt>
                <c:pt idx="5">
                  <c:v>5.53</c:v>
                </c:pt>
                <c:pt idx="6">
                  <c:v>4.9000000000000004</c:v>
                </c:pt>
                <c:pt idx="7">
                  <c:v>4.13</c:v>
                </c:pt>
                <c:pt idx="8">
                  <c:v>3.68</c:v>
                </c:pt>
                <c:pt idx="9">
                  <c:v>3.3</c:v>
                </c:pt>
                <c:pt idx="10">
                  <c:v>2.95</c:v>
                </c:pt>
                <c:pt idx="11">
                  <c:v>2.74</c:v>
                </c:pt>
                <c:pt idx="12">
                  <c:v>2.4</c:v>
                </c:pt>
                <c:pt idx="13">
                  <c:v>2.2000000000000002</c:v>
                </c:pt>
                <c:pt idx="14">
                  <c:v>1.87</c:v>
                </c:pt>
                <c:pt idx="15">
                  <c:v>1.61</c:v>
                </c:pt>
                <c:pt idx="16">
                  <c:v>1.21</c:v>
                </c:pt>
                <c:pt idx="17">
                  <c:v>0.99</c:v>
                </c:pt>
                <c:pt idx="18">
                  <c:v>0.65</c:v>
                </c:pt>
                <c:pt idx="19">
                  <c:v>0.44</c:v>
                </c:pt>
                <c:pt idx="20">
                  <c:v>0.3</c:v>
                </c:pt>
                <c:pt idx="21">
                  <c:v>0.15</c:v>
                </c:pt>
                <c:pt idx="22">
                  <c:v>7.0000000000000007E-2</c:v>
                </c:pt>
                <c:pt idx="23">
                  <c:v>0.04</c:v>
                </c:pt>
                <c:pt idx="24">
                  <c:v>0.02</c:v>
                </c:pt>
                <c:pt idx="25">
                  <c:v>0.01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0.02</c:v>
                </c:pt>
                <c:pt idx="30">
                  <c:v>0.04</c:v>
                </c:pt>
                <c:pt idx="31">
                  <c:v>7.0000000000000007E-2</c:v>
                </c:pt>
                <c:pt idx="32">
                  <c:v>0.09</c:v>
                </c:pt>
                <c:pt idx="33">
                  <c:v>0.11</c:v>
                </c:pt>
                <c:pt idx="34">
                  <c:v>0.13</c:v>
                </c:pt>
                <c:pt idx="35">
                  <c:v>0.14000000000000001</c:v>
                </c:pt>
                <c:pt idx="36">
                  <c:v>0.15</c:v>
                </c:pt>
                <c:pt idx="37">
                  <c:v>0.17</c:v>
                </c:pt>
                <c:pt idx="38">
                  <c:v>0.2</c:v>
                </c:pt>
                <c:pt idx="39">
                  <c:v>0.21</c:v>
                </c:pt>
                <c:pt idx="40">
                  <c:v>0.22</c:v>
                </c:pt>
                <c:pt idx="41">
                  <c:v>0.22</c:v>
                </c:pt>
                <c:pt idx="42">
                  <c:v>0.21</c:v>
                </c:pt>
                <c:pt idx="43">
                  <c:v>0.19</c:v>
                </c:pt>
                <c:pt idx="44">
                  <c:v>0.16</c:v>
                </c:pt>
                <c:pt idx="45">
                  <c:v>0.13</c:v>
                </c:pt>
                <c:pt idx="46">
                  <c:v>0.1</c:v>
                </c:pt>
                <c:pt idx="47">
                  <c:v>7.0000000000000007E-2</c:v>
                </c:pt>
                <c:pt idx="48">
                  <c:v>0.05</c:v>
                </c:pt>
                <c:pt idx="49">
                  <c:v>0.04</c:v>
                </c:pt>
                <c:pt idx="50">
                  <c:v>0.03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0.01</c:v>
                </c:pt>
                <c:pt idx="60">
                  <c:v>0</c:v>
                </c:pt>
                <c:pt idx="61">
                  <c:v>0.01</c:v>
                </c:pt>
                <c:pt idx="62">
                  <c:v>0.02</c:v>
                </c:pt>
                <c:pt idx="63">
                  <c:v>0.03</c:v>
                </c:pt>
                <c:pt idx="64">
                  <c:v>0.04</c:v>
                </c:pt>
                <c:pt idx="65">
                  <c:v>0.04</c:v>
                </c:pt>
                <c:pt idx="66">
                  <c:v>0.05</c:v>
                </c:pt>
                <c:pt idx="67">
                  <c:v>0.06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0.03</c:v>
                </c:pt>
                <c:pt idx="78">
                  <c:v>0.02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1B-4A2A-A02D-EBAE144A7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749343"/>
        <c:axId val="527752703"/>
      </c:scatterChart>
      <c:valAx>
        <c:axId val="52774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52703"/>
        <c:crosses val="autoZero"/>
        <c:crossBetween val="midCat"/>
      </c:valAx>
      <c:valAx>
        <c:axId val="52775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49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gora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3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D50-452A-BDB7-5C4F2E51810E}"/>
              </c:ext>
            </c:extLst>
          </c:dPt>
          <c:trendline>
            <c:spPr>
              <a:ln w="19050" cap="rnd">
                <a:noFill/>
                <a:prstDash val="sysDot"/>
              </a:ln>
              <a:effectLst/>
            </c:spPr>
            <c:trendlineType val="movingAvg"/>
            <c:period val="6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Arkusz1!$B$4:$B$97</c:f>
              <c:numCache>
                <c:formatCode>General</c:formatCode>
                <c:ptCount val="94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5.9999999999999902</c:v>
                </c:pt>
                <c:pt idx="31">
                  <c:v>6.1999999999999904</c:v>
                </c:pt>
                <c:pt idx="32">
                  <c:v>6.3999999999999897</c:v>
                </c:pt>
                <c:pt idx="33">
                  <c:v>6.5999999999999899</c:v>
                </c:pt>
                <c:pt idx="34">
                  <c:v>6.7999999999999901</c:v>
                </c:pt>
                <c:pt idx="35">
                  <c:v>6.9999999999999902</c:v>
                </c:pt>
                <c:pt idx="36">
                  <c:v>7.1999999999999904</c:v>
                </c:pt>
                <c:pt idx="37">
                  <c:v>7.3999999999999897</c:v>
                </c:pt>
                <c:pt idx="38">
                  <c:v>7.5999999999999899</c:v>
                </c:pt>
                <c:pt idx="39">
                  <c:v>7.7999999999999901</c:v>
                </c:pt>
                <c:pt idx="40">
                  <c:v>7.9999999999999902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8.6000000000000103</c:v>
                </c:pt>
                <c:pt idx="44">
                  <c:v>8.8000000000000096</c:v>
                </c:pt>
                <c:pt idx="45">
                  <c:v>9.0000000000000107</c:v>
                </c:pt>
                <c:pt idx="46">
                  <c:v>9.2000000000000099</c:v>
                </c:pt>
                <c:pt idx="47">
                  <c:v>9.4000000000000092</c:v>
                </c:pt>
                <c:pt idx="48">
                  <c:v>9.6000000000000103</c:v>
                </c:pt>
                <c:pt idx="49">
                  <c:v>9.8000000000000096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</c:numCache>
            </c:numRef>
          </c:xVal>
          <c:yVal>
            <c:numRef>
              <c:f>Arkusz1!$C$4:$C$97</c:f>
              <c:numCache>
                <c:formatCode>General</c:formatCode>
                <c:ptCount val="94"/>
                <c:pt idx="0">
                  <c:v>8.8800000000000008</c:v>
                </c:pt>
                <c:pt idx="1">
                  <c:v>8.66</c:v>
                </c:pt>
                <c:pt idx="2">
                  <c:v>8.2899999999999991</c:v>
                </c:pt>
                <c:pt idx="3">
                  <c:v>7.65</c:v>
                </c:pt>
                <c:pt idx="4">
                  <c:v>7.17</c:v>
                </c:pt>
                <c:pt idx="5">
                  <c:v>6.88</c:v>
                </c:pt>
                <c:pt idx="6">
                  <c:v>6.77</c:v>
                </c:pt>
                <c:pt idx="7">
                  <c:v>6.81</c:v>
                </c:pt>
                <c:pt idx="8">
                  <c:v>6.8</c:v>
                </c:pt>
                <c:pt idx="9">
                  <c:v>6.91</c:v>
                </c:pt>
                <c:pt idx="10">
                  <c:v>6.91</c:v>
                </c:pt>
                <c:pt idx="11">
                  <c:v>6.92</c:v>
                </c:pt>
                <c:pt idx="12">
                  <c:v>6.81</c:v>
                </c:pt>
                <c:pt idx="13">
                  <c:v>6.51</c:v>
                </c:pt>
                <c:pt idx="14">
                  <c:v>6.21</c:v>
                </c:pt>
                <c:pt idx="15">
                  <c:v>5.78</c:v>
                </c:pt>
                <c:pt idx="16">
                  <c:v>5.0999999999999996</c:v>
                </c:pt>
                <c:pt idx="17">
                  <c:v>4.4000000000000004</c:v>
                </c:pt>
                <c:pt idx="18">
                  <c:v>3.6</c:v>
                </c:pt>
                <c:pt idx="19">
                  <c:v>2.91</c:v>
                </c:pt>
                <c:pt idx="20">
                  <c:v>2.4500000000000002</c:v>
                </c:pt>
                <c:pt idx="21">
                  <c:v>1.94</c:v>
                </c:pt>
                <c:pt idx="22">
                  <c:v>1.56</c:v>
                </c:pt>
                <c:pt idx="23">
                  <c:v>1.21</c:v>
                </c:pt>
                <c:pt idx="24">
                  <c:v>0.93</c:v>
                </c:pt>
                <c:pt idx="25">
                  <c:v>0.75</c:v>
                </c:pt>
                <c:pt idx="26">
                  <c:v>0.57999999999999996</c:v>
                </c:pt>
                <c:pt idx="27">
                  <c:v>0.43</c:v>
                </c:pt>
                <c:pt idx="28">
                  <c:v>0.3</c:v>
                </c:pt>
                <c:pt idx="29">
                  <c:v>0.2</c:v>
                </c:pt>
                <c:pt idx="30">
                  <c:v>0.12</c:v>
                </c:pt>
                <c:pt idx="31">
                  <c:v>0.05</c:v>
                </c:pt>
                <c:pt idx="32">
                  <c:v>0.04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0.05</c:v>
                </c:pt>
                <c:pt idx="40">
                  <c:v>7.0000000000000007E-2</c:v>
                </c:pt>
                <c:pt idx="41">
                  <c:v>0.1</c:v>
                </c:pt>
                <c:pt idx="42">
                  <c:v>0.11</c:v>
                </c:pt>
                <c:pt idx="43">
                  <c:v>0.12</c:v>
                </c:pt>
                <c:pt idx="44">
                  <c:v>0.15</c:v>
                </c:pt>
                <c:pt idx="45">
                  <c:v>0.18</c:v>
                </c:pt>
                <c:pt idx="46">
                  <c:v>0.2</c:v>
                </c:pt>
                <c:pt idx="47">
                  <c:v>0.2</c:v>
                </c:pt>
                <c:pt idx="48">
                  <c:v>0.19</c:v>
                </c:pt>
                <c:pt idx="49">
                  <c:v>0.19</c:v>
                </c:pt>
                <c:pt idx="50">
                  <c:v>0.2</c:v>
                </c:pt>
                <c:pt idx="51">
                  <c:v>0.2</c:v>
                </c:pt>
                <c:pt idx="52">
                  <c:v>0.16</c:v>
                </c:pt>
                <c:pt idx="53">
                  <c:v>0.13</c:v>
                </c:pt>
                <c:pt idx="54">
                  <c:v>0.11</c:v>
                </c:pt>
                <c:pt idx="55">
                  <c:v>0.09</c:v>
                </c:pt>
                <c:pt idx="56">
                  <c:v>7.0000000000000007E-2</c:v>
                </c:pt>
                <c:pt idx="57">
                  <c:v>0.04</c:v>
                </c:pt>
                <c:pt idx="58">
                  <c:v>0.03</c:v>
                </c:pt>
                <c:pt idx="59">
                  <c:v>0.02</c:v>
                </c:pt>
                <c:pt idx="60">
                  <c:v>0.01</c:v>
                </c:pt>
                <c:pt idx="61">
                  <c:v>0.01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0.01</c:v>
                </c:pt>
                <c:pt idx="69">
                  <c:v>0.01</c:v>
                </c:pt>
                <c:pt idx="70">
                  <c:v>0.02</c:v>
                </c:pt>
                <c:pt idx="71">
                  <c:v>0.03</c:v>
                </c:pt>
                <c:pt idx="72">
                  <c:v>0.04</c:v>
                </c:pt>
                <c:pt idx="73">
                  <c:v>0.04</c:v>
                </c:pt>
                <c:pt idx="74">
                  <c:v>0.05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0.01</c:v>
                </c:pt>
                <c:pt idx="88">
                  <c:v>0.01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50-452A-BDB7-5C4F2E51810E}"/>
            </c:ext>
          </c:extLst>
        </c:ser>
        <c:ser>
          <c:idx val="1"/>
          <c:order val="1"/>
          <c:tx>
            <c:v>dol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Arkusz1!$E$4:$E$89</c:f>
              <c:numCache>
                <c:formatCode>General</c:formatCode>
                <c:ptCount val="86"/>
                <c:pt idx="0">
                  <c:v>0</c:v>
                </c:pt>
                <c:pt idx="1">
                  <c:v>-0.2</c:v>
                </c:pt>
                <c:pt idx="2">
                  <c:v>-0.4</c:v>
                </c:pt>
                <c:pt idx="3">
                  <c:v>-0.6</c:v>
                </c:pt>
                <c:pt idx="4">
                  <c:v>-0.8</c:v>
                </c:pt>
                <c:pt idx="5">
                  <c:v>-1</c:v>
                </c:pt>
                <c:pt idx="6">
                  <c:v>-1.2</c:v>
                </c:pt>
                <c:pt idx="7">
                  <c:v>-1.4</c:v>
                </c:pt>
                <c:pt idx="8">
                  <c:v>-1.6</c:v>
                </c:pt>
                <c:pt idx="9">
                  <c:v>-1.8</c:v>
                </c:pt>
                <c:pt idx="10">
                  <c:v>-2</c:v>
                </c:pt>
                <c:pt idx="11">
                  <c:v>-2.2000000000000002</c:v>
                </c:pt>
                <c:pt idx="12">
                  <c:v>-2.4</c:v>
                </c:pt>
                <c:pt idx="13">
                  <c:v>-2.6</c:v>
                </c:pt>
                <c:pt idx="14">
                  <c:v>-2.8</c:v>
                </c:pt>
                <c:pt idx="15">
                  <c:v>-3</c:v>
                </c:pt>
                <c:pt idx="16">
                  <c:v>-3.2</c:v>
                </c:pt>
                <c:pt idx="17">
                  <c:v>-3.4</c:v>
                </c:pt>
                <c:pt idx="18">
                  <c:v>-3.6</c:v>
                </c:pt>
                <c:pt idx="19">
                  <c:v>-3.8</c:v>
                </c:pt>
                <c:pt idx="20">
                  <c:v>-4</c:v>
                </c:pt>
                <c:pt idx="21">
                  <c:v>-4.2</c:v>
                </c:pt>
                <c:pt idx="22">
                  <c:v>-4.4000000000000004</c:v>
                </c:pt>
                <c:pt idx="23">
                  <c:v>-4.5999999999999996</c:v>
                </c:pt>
                <c:pt idx="24">
                  <c:v>-4.8</c:v>
                </c:pt>
                <c:pt idx="25">
                  <c:v>-5</c:v>
                </c:pt>
                <c:pt idx="26">
                  <c:v>-5.2</c:v>
                </c:pt>
                <c:pt idx="27">
                  <c:v>-5.4</c:v>
                </c:pt>
                <c:pt idx="28">
                  <c:v>-5.6</c:v>
                </c:pt>
                <c:pt idx="29">
                  <c:v>-5.8</c:v>
                </c:pt>
                <c:pt idx="30">
                  <c:v>-6</c:v>
                </c:pt>
                <c:pt idx="31">
                  <c:v>-6.2</c:v>
                </c:pt>
                <c:pt idx="32">
                  <c:v>-6.4</c:v>
                </c:pt>
                <c:pt idx="33">
                  <c:v>-6.6</c:v>
                </c:pt>
                <c:pt idx="34">
                  <c:v>-6.8</c:v>
                </c:pt>
                <c:pt idx="35">
                  <c:v>-7</c:v>
                </c:pt>
                <c:pt idx="36">
                  <c:v>-7.2</c:v>
                </c:pt>
                <c:pt idx="37">
                  <c:v>-7.4</c:v>
                </c:pt>
                <c:pt idx="38">
                  <c:v>-7.6</c:v>
                </c:pt>
                <c:pt idx="39">
                  <c:v>-7.8</c:v>
                </c:pt>
                <c:pt idx="40">
                  <c:v>-8</c:v>
                </c:pt>
                <c:pt idx="41">
                  <c:v>-8.1999999999999993</c:v>
                </c:pt>
                <c:pt idx="42">
                  <c:v>-8.4</c:v>
                </c:pt>
                <c:pt idx="43">
                  <c:v>-8.6</c:v>
                </c:pt>
                <c:pt idx="44">
                  <c:v>-8.8000000000000007</c:v>
                </c:pt>
                <c:pt idx="45">
                  <c:v>-9</c:v>
                </c:pt>
                <c:pt idx="46">
                  <c:v>-9.1999999999999993</c:v>
                </c:pt>
                <c:pt idx="47">
                  <c:v>-9.4</c:v>
                </c:pt>
                <c:pt idx="48">
                  <c:v>-9.6</c:v>
                </c:pt>
                <c:pt idx="49">
                  <c:v>-9.8000000000000007</c:v>
                </c:pt>
                <c:pt idx="50">
                  <c:v>-10</c:v>
                </c:pt>
                <c:pt idx="51">
                  <c:v>-10.199999999999999</c:v>
                </c:pt>
                <c:pt idx="52">
                  <c:v>-10.4</c:v>
                </c:pt>
                <c:pt idx="53">
                  <c:v>-10.6</c:v>
                </c:pt>
                <c:pt idx="54">
                  <c:v>-10.8</c:v>
                </c:pt>
                <c:pt idx="55">
                  <c:v>-11</c:v>
                </c:pt>
                <c:pt idx="56">
                  <c:v>-11.2</c:v>
                </c:pt>
                <c:pt idx="57">
                  <c:v>-11.4</c:v>
                </c:pt>
                <c:pt idx="58">
                  <c:v>-11.6</c:v>
                </c:pt>
                <c:pt idx="59">
                  <c:v>-11.8</c:v>
                </c:pt>
                <c:pt idx="60">
                  <c:v>-12</c:v>
                </c:pt>
                <c:pt idx="61">
                  <c:v>-12.2</c:v>
                </c:pt>
                <c:pt idx="62">
                  <c:v>-12.4</c:v>
                </c:pt>
                <c:pt idx="63">
                  <c:v>-12.6</c:v>
                </c:pt>
                <c:pt idx="64">
                  <c:v>-12.8</c:v>
                </c:pt>
                <c:pt idx="65">
                  <c:v>-13</c:v>
                </c:pt>
                <c:pt idx="66">
                  <c:v>-13.2</c:v>
                </c:pt>
                <c:pt idx="67">
                  <c:v>-13.4</c:v>
                </c:pt>
                <c:pt idx="68">
                  <c:v>-13.6</c:v>
                </c:pt>
                <c:pt idx="69">
                  <c:v>-13.8</c:v>
                </c:pt>
                <c:pt idx="70">
                  <c:v>-14</c:v>
                </c:pt>
                <c:pt idx="71">
                  <c:v>-14.2</c:v>
                </c:pt>
                <c:pt idx="72">
                  <c:v>-14.4</c:v>
                </c:pt>
                <c:pt idx="73">
                  <c:v>-14.6</c:v>
                </c:pt>
                <c:pt idx="74">
                  <c:v>-14.8</c:v>
                </c:pt>
                <c:pt idx="75">
                  <c:v>-15</c:v>
                </c:pt>
                <c:pt idx="76">
                  <c:v>-15.2</c:v>
                </c:pt>
                <c:pt idx="77">
                  <c:v>-15.4</c:v>
                </c:pt>
                <c:pt idx="78">
                  <c:v>-15.6</c:v>
                </c:pt>
                <c:pt idx="79">
                  <c:v>-15.8</c:v>
                </c:pt>
                <c:pt idx="80">
                  <c:v>-16</c:v>
                </c:pt>
                <c:pt idx="81">
                  <c:v>-16.2</c:v>
                </c:pt>
                <c:pt idx="82">
                  <c:v>-16.399999999999999</c:v>
                </c:pt>
                <c:pt idx="83">
                  <c:v>-16.600000000000001</c:v>
                </c:pt>
                <c:pt idx="84">
                  <c:v>-16.8</c:v>
                </c:pt>
                <c:pt idx="85">
                  <c:v>-17</c:v>
                </c:pt>
              </c:numCache>
            </c:numRef>
          </c:xVal>
          <c:yVal>
            <c:numRef>
              <c:f>Arkusz1!$F$4:$F$89</c:f>
              <c:numCache>
                <c:formatCode>General</c:formatCode>
                <c:ptCount val="86"/>
                <c:pt idx="0">
                  <c:v>8.8000000000000007</c:v>
                </c:pt>
                <c:pt idx="1">
                  <c:v>8.16</c:v>
                </c:pt>
                <c:pt idx="2">
                  <c:v>7.71</c:v>
                </c:pt>
                <c:pt idx="3">
                  <c:v>7.29</c:v>
                </c:pt>
                <c:pt idx="4">
                  <c:v>6.43</c:v>
                </c:pt>
                <c:pt idx="5">
                  <c:v>5.53</c:v>
                </c:pt>
                <c:pt idx="6">
                  <c:v>4.9000000000000004</c:v>
                </c:pt>
                <c:pt idx="7">
                  <c:v>4.13</c:v>
                </c:pt>
                <c:pt idx="8">
                  <c:v>3.68</c:v>
                </c:pt>
                <c:pt idx="9">
                  <c:v>3.3</c:v>
                </c:pt>
                <c:pt idx="10">
                  <c:v>2.95</c:v>
                </c:pt>
                <c:pt idx="11">
                  <c:v>2.74</c:v>
                </c:pt>
                <c:pt idx="12">
                  <c:v>2.4</c:v>
                </c:pt>
                <c:pt idx="13">
                  <c:v>2.2000000000000002</c:v>
                </c:pt>
                <c:pt idx="14">
                  <c:v>1.87</c:v>
                </c:pt>
                <c:pt idx="15">
                  <c:v>1.61</c:v>
                </c:pt>
                <c:pt idx="16">
                  <c:v>1.21</c:v>
                </c:pt>
                <c:pt idx="17">
                  <c:v>0.99</c:v>
                </c:pt>
                <c:pt idx="18">
                  <c:v>0.65</c:v>
                </c:pt>
                <c:pt idx="19">
                  <c:v>0.44</c:v>
                </c:pt>
                <c:pt idx="20">
                  <c:v>0.3</c:v>
                </c:pt>
                <c:pt idx="21">
                  <c:v>0.15</c:v>
                </c:pt>
                <c:pt idx="22">
                  <c:v>7.0000000000000007E-2</c:v>
                </c:pt>
                <c:pt idx="23">
                  <c:v>0.04</c:v>
                </c:pt>
                <c:pt idx="24">
                  <c:v>0.02</c:v>
                </c:pt>
                <c:pt idx="25">
                  <c:v>0.01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0.02</c:v>
                </c:pt>
                <c:pt idx="30">
                  <c:v>0.04</c:v>
                </c:pt>
                <c:pt idx="31">
                  <c:v>7.0000000000000007E-2</c:v>
                </c:pt>
                <c:pt idx="32">
                  <c:v>0.09</c:v>
                </c:pt>
                <c:pt idx="33">
                  <c:v>0.11</c:v>
                </c:pt>
                <c:pt idx="34">
                  <c:v>0.13</c:v>
                </c:pt>
                <c:pt idx="35">
                  <c:v>0.14000000000000001</c:v>
                </c:pt>
                <c:pt idx="36">
                  <c:v>0.15</c:v>
                </c:pt>
                <c:pt idx="37">
                  <c:v>0.17</c:v>
                </c:pt>
                <c:pt idx="38">
                  <c:v>0.2</c:v>
                </c:pt>
                <c:pt idx="39">
                  <c:v>0.21</c:v>
                </c:pt>
                <c:pt idx="40">
                  <c:v>0.22</c:v>
                </c:pt>
                <c:pt idx="41">
                  <c:v>0.22</c:v>
                </c:pt>
                <c:pt idx="42">
                  <c:v>0.21</c:v>
                </c:pt>
                <c:pt idx="43">
                  <c:v>0.19</c:v>
                </c:pt>
                <c:pt idx="44">
                  <c:v>0.16</c:v>
                </c:pt>
                <c:pt idx="45">
                  <c:v>0.13</c:v>
                </c:pt>
                <c:pt idx="46">
                  <c:v>0.1</c:v>
                </c:pt>
                <c:pt idx="47">
                  <c:v>7.0000000000000007E-2</c:v>
                </c:pt>
                <c:pt idx="48">
                  <c:v>0.05</c:v>
                </c:pt>
                <c:pt idx="49">
                  <c:v>0.04</c:v>
                </c:pt>
                <c:pt idx="50">
                  <c:v>0.03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0.01</c:v>
                </c:pt>
                <c:pt idx="60">
                  <c:v>0</c:v>
                </c:pt>
                <c:pt idx="61">
                  <c:v>0.01</c:v>
                </c:pt>
                <c:pt idx="62">
                  <c:v>0.02</c:v>
                </c:pt>
                <c:pt idx="63">
                  <c:v>0.03</c:v>
                </c:pt>
                <c:pt idx="64">
                  <c:v>0.04</c:v>
                </c:pt>
                <c:pt idx="65">
                  <c:v>0.04</c:v>
                </c:pt>
                <c:pt idx="66">
                  <c:v>0.05</c:v>
                </c:pt>
                <c:pt idx="67">
                  <c:v>0.06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0.03</c:v>
                </c:pt>
                <c:pt idx="78">
                  <c:v>0.02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50-452A-BDB7-5C4F2E518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749343"/>
        <c:axId val="527752703"/>
      </c:scatterChart>
      <c:valAx>
        <c:axId val="52774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52703"/>
        <c:crosses val="autoZero"/>
        <c:crossBetween val="midCat"/>
      </c:valAx>
      <c:valAx>
        <c:axId val="5277527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49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gora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3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637-4528-9086-5C00F694F396}"/>
              </c:ext>
            </c:extLst>
          </c:dPt>
          <c:dLbls>
            <c:dLbl>
              <c:idx val="33"/>
              <c:layout>
                <c:manualLayout>
                  <c:x val="-7.4750830564784057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37-4528-9086-5C00F694F396}"/>
                </c:ext>
              </c:extLst>
            </c:dLbl>
            <c:dLbl>
              <c:idx val="36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37-4528-9086-5C00F694F396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37-4528-9086-5C00F694F396}"/>
                </c:ext>
              </c:extLst>
            </c:dLbl>
            <c:dLbl>
              <c:idx val="61"/>
              <c:layout>
                <c:manualLayout>
                  <c:x val="-6.6445182724252497E-2"/>
                  <c:y val="6.562205314352886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37-4528-9086-5C00F694F396}"/>
                </c:ext>
              </c:extLst>
            </c:dLbl>
            <c:dLbl>
              <c:idx val="68"/>
              <c:layout>
                <c:manualLayout>
                  <c:x val="-3.3222591362126346E-2"/>
                  <c:y val="6.09347636332768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37-4528-9086-5C00F694F396}"/>
                </c:ext>
              </c:extLst>
            </c:dLbl>
            <c:dLbl>
              <c:idx val="76"/>
              <c:layout>
                <c:manualLayout>
                  <c:x val="-2.4929274361822573E-2"/>
                  <c:y val="-4.7211913461677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37-4528-9086-5C00F694F396}"/>
                </c:ext>
              </c:extLst>
            </c:dLbl>
            <c:dLbl>
              <c:idx val="88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637-4528-9086-5C00F694F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Arkusz1!$B$4:$B$97</c:f>
              <c:numCache>
                <c:formatCode>General</c:formatCode>
                <c:ptCount val="94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5.9999999999999902</c:v>
                </c:pt>
                <c:pt idx="31">
                  <c:v>6.1999999999999904</c:v>
                </c:pt>
                <c:pt idx="32">
                  <c:v>6.3999999999999897</c:v>
                </c:pt>
                <c:pt idx="33">
                  <c:v>6.5999999999999899</c:v>
                </c:pt>
                <c:pt idx="34">
                  <c:v>6.7999999999999901</c:v>
                </c:pt>
                <c:pt idx="35">
                  <c:v>6.9999999999999902</c:v>
                </c:pt>
                <c:pt idx="36">
                  <c:v>7.1999999999999904</c:v>
                </c:pt>
                <c:pt idx="37">
                  <c:v>7.3999999999999897</c:v>
                </c:pt>
                <c:pt idx="38">
                  <c:v>7.5999999999999899</c:v>
                </c:pt>
                <c:pt idx="39">
                  <c:v>7.7999999999999901</c:v>
                </c:pt>
                <c:pt idx="40">
                  <c:v>7.9999999999999902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8.6000000000000103</c:v>
                </c:pt>
                <c:pt idx="44">
                  <c:v>8.8000000000000096</c:v>
                </c:pt>
                <c:pt idx="45">
                  <c:v>9.0000000000000107</c:v>
                </c:pt>
                <c:pt idx="46">
                  <c:v>9.2000000000000099</c:v>
                </c:pt>
                <c:pt idx="47">
                  <c:v>9.4000000000000092</c:v>
                </c:pt>
                <c:pt idx="48">
                  <c:v>9.6000000000000103</c:v>
                </c:pt>
                <c:pt idx="49">
                  <c:v>9.8000000000000096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</c:numCache>
            </c:numRef>
          </c:xVal>
          <c:yVal>
            <c:numRef>
              <c:f>Arkusz1!$C$4:$C$97</c:f>
              <c:numCache>
                <c:formatCode>General</c:formatCode>
                <c:ptCount val="94"/>
                <c:pt idx="0">
                  <c:v>8.8800000000000008</c:v>
                </c:pt>
                <c:pt idx="1">
                  <c:v>8.66</c:v>
                </c:pt>
                <c:pt idx="2">
                  <c:v>8.2899999999999991</c:v>
                </c:pt>
                <c:pt idx="3">
                  <c:v>7.65</c:v>
                </c:pt>
                <c:pt idx="4">
                  <c:v>7.17</c:v>
                </c:pt>
                <c:pt idx="5">
                  <c:v>6.88</c:v>
                </c:pt>
                <c:pt idx="6">
                  <c:v>6.77</c:v>
                </c:pt>
                <c:pt idx="7">
                  <c:v>6.81</c:v>
                </c:pt>
                <c:pt idx="8">
                  <c:v>6.8</c:v>
                </c:pt>
                <c:pt idx="9">
                  <c:v>6.91</c:v>
                </c:pt>
                <c:pt idx="10">
                  <c:v>6.91</c:v>
                </c:pt>
                <c:pt idx="11">
                  <c:v>6.92</c:v>
                </c:pt>
                <c:pt idx="12">
                  <c:v>6.81</c:v>
                </c:pt>
                <c:pt idx="13">
                  <c:v>6.51</c:v>
                </c:pt>
                <c:pt idx="14">
                  <c:v>6.21</c:v>
                </c:pt>
                <c:pt idx="15">
                  <c:v>5.78</c:v>
                </c:pt>
                <c:pt idx="16">
                  <c:v>5.0999999999999996</c:v>
                </c:pt>
                <c:pt idx="17">
                  <c:v>4.4000000000000004</c:v>
                </c:pt>
                <c:pt idx="18">
                  <c:v>3.6</c:v>
                </c:pt>
                <c:pt idx="19">
                  <c:v>2.91</c:v>
                </c:pt>
                <c:pt idx="20">
                  <c:v>2.4500000000000002</c:v>
                </c:pt>
                <c:pt idx="21">
                  <c:v>1.94</c:v>
                </c:pt>
                <c:pt idx="22">
                  <c:v>1.56</c:v>
                </c:pt>
                <c:pt idx="23">
                  <c:v>1.21</c:v>
                </c:pt>
                <c:pt idx="24">
                  <c:v>0.93</c:v>
                </c:pt>
                <c:pt idx="25">
                  <c:v>0.75</c:v>
                </c:pt>
                <c:pt idx="26">
                  <c:v>0.57999999999999996</c:v>
                </c:pt>
                <c:pt idx="27">
                  <c:v>0.43</c:v>
                </c:pt>
                <c:pt idx="28">
                  <c:v>0.3</c:v>
                </c:pt>
                <c:pt idx="29">
                  <c:v>0.2</c:v>
                </c:pt>
                <c:pt idx="30">
                  <c:v>0.12</c:v>
                </c:pt>
                <c:pt idx="31">
                  <c:v>0.05</c:v>
                </c:pt>
                <c:pt idx="32">
                  <c:v>0.04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0.05</c:v>
                </c:pt>
                <c:pt idx="40">
                  <c:v>7.0000000000000007E-2</c:v>
                </c:pt>
                <c:pt idx="41">
                  <c:v>0.1</c:v>
                </c:pt>
                <c:pt idx="42">
                  <c:v>0.11</c:v>
                </c:pt>
                <c:pt idx="43">
                  <c:v>0.12</c:v>
                </c:pt>
                <c:pt idx="44">
                  <c:v>0.15</c:v>
                </c:pt>
                <c:pt idx="45">
                  <c:v>0.18</c:v>
                </c:pt>
                <c:pt idx="46">
                  <c:v>0.2</c:v>
                </c:pt>
                <c:pt idx="47">
                  <c:v>0.2</c:v>
                </c:pt>
                <c:pt idx="48">
                  <c:v>0.19</c:v>
                </c:pt>
                <c:pt idx="49">
                  <c:v>0.19</c:v>
                </c:pt>
                <c:pt idx="50">
                  <c:v>0.2</c:v>
                </c:pt>
                <c:pt idx="51">
                  <c:v>0.2</c:v>
                </c:pt>
                <c:pt idx="52">
                  <c:v>0.16</c:v>
                </c:pt>
                <c:pt idx="53">
                  <c:v>0.13</c:v>
                </c:pt>
                <c:pt idx="54">
                  <c:v>0.11</c:v>
                </c:pt>
                <c:pt idx="55">
                  <c:v>0.09</c:v>
                </c:pt>
                <c:pt idx="56">
                  <c:v>7.0000000000000007E-2</c:v>
                </c:pt>
                <c:pt idx="57">
                  <c:v>0.04</c:v>
                </c:pt>
                <c:pt idx="58">
                  <c:v>0.03</c:v>
                </c:pt>
                <c:pt idx="59">
                  <c:v>0.02</c:v>
                </c:pt>
                <c:pt idx="60">
                  <c:v>0.01</c:v>
                </c:pt>
                <c:pt idx="61">
                  <c:v>0.01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0.01</c:v>
                </c:pt>
                <c:pt idx="69">
                  <c:v>0.01</c:v>
                </c:pt>
                <c:pt idx="70">
                  <c:v>0.02</c:v>
                </c:pt>
                <c:pt idx="71">
                  <c:v>0.03</c:v>
                </c:pt>
                <c:pt idx="72">
                  <c:v>0.04</c:v>
                </c:pt>
                <c:pt idx="73">
                  <c:v>0.04</c:v>
                </c:pt>
                <c:pt idx="74">
                  <c:v>0.05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0.01</c:v>
                </c:pt>
                <c:pt idx="88">
                  <c:v>0.01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37-4528-9086-5C00F694F396}"/>
            </c:ext>
          </c:extLst>
        </c:ser>
        <c:ser>
          <c:idx val="1"/>
          <c:order val="1"/>
          <c:tx>
            <c:v>dol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248701682082613"/>
                  <c:y val="2.832714807700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637-4528-9086-5C00F694F396}"/>
                </c:ext>
              </c:extLst>
            </c:dLbl>
            <c:dLbl>
              <c:idx val="25"/>
              <c:layout>
                <c:manualLayout>
                  <c:x val="-8.3056478405316124E-3"/>
                  <c:y val="6.562205314352886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637-4528-9086-5C00F694F396}"/>
                </c:ext>
              </c:extLst>
            </c:dLbl>
            <c:dLbl>
              <c:idx val="28"/>
              <c:layout>
                <c:manualLayout>
                  <c:x val="-5.8139534883720978E-2"/>
                  <c:y val="5.62474741230247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637-4528-9086-5C00F694F396}"/>
                </c:ext>
              </c:extLst>
            </c:dLbl>
            <c:dLbl>
              <c:idx val="41"/>
              <c:layout>
                <c:manualLayout>
                  <c:x val="-5.5398387470716823E-3"/>
                  <c:y val="-2.3605956730838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637-4528-9086-5C00F694F396}"/>
                </c:ext>
              </c:extLst>
            </c:dLbl>
            <c:dLbl>
              <c:idx val="5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637-4528-9086-5C00F694F396}"/>
                </c:ext>
              </c:extLst>
            </c:dLbl>
            <c:dLbl>
              <c:idx val="61"/>
              <c:layout>
                <c:manualLayout>
                  <c:x val="-3.5991140642303431E-2"/>
                  <c:y val="7.499663216403298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637-4528-9086-5C00F694F396}"/>
                </c:ext>
              </c:extLst>
            </c:dLbl>
            <c:dLbl>
              <c:idx val="67"/>
              <c:layout>
                <c:manualLayout>
                  <c:x val="-2.2159354988286757E-2"/>
                  <c:y val="-4.7211913461677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637-4528-9086-5C00F694F396}"/>
                </c:ext>
              </c:extLst>
            </c:dLbl>
            <c:dLbl>
              <c:idx val="80"/>
              <c:layout>
                <c:manualLayout>
                  <c:x val="-8.3056478405315617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637-4528-9086-5C00F694F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Arkusz1!$E$4:$E$89</c:f>
              <c:numCache>
                <c:formatCode>General</c:formatCode>
                <c:ptCount val="86"/>
                <c:pt idx="0">
                  <c:v>0</c:v>
                </c:pt>
                <c:pt idx="1">
                  <c:v>-0.2</c:v>
                </c:pt>
                <c:pt idx="2">
                  <c:v>-0.4</c:v>
                </c:pt>
                <c:pt idx="3">
                  <c:v>-0.6</c:v>
                </c:pt>
                <c:pt idx="4">
                  <c:v>-0.8</c:v>
                </c:pt>
                <c:pt idx="5">
                  <c:v>-1</c:v>
                </c:pt>
                <c:pt idx="6">
                  <c:v>-1.2</c:v>
                </c:pt>
                <c:pt idx="7">
                  <c:v>-1.4</c:v>
                </c:pt>
                <c:pt idx="8">
                  <c:v>-1.6</c:v>
                </c:pt>
                <c:pt idx="9">
                  <c:v>-1.8</c:v>
                </c:pt>
                <c:pt idx="10">
                  <c:v>-2</c:v>
                </c:pt>
                <c:pt idx="11">
                  <c:v>-2.2000000000000002</c:v>
                </c:pt>
                <c:pt idx="12">
                  <c:v>-2.4</c:v>
                </c:pt>
                <c:pt idx="13">
                  <c:v>-2.6</c:v>
                </c:pt>
                <c:pt idx="14">
                  <c:v>-2.8</c:v>
                </c:pt>
                <c:pt idx="15">
                  <c:v>-3</c:v>
                </c:pt>
                <c:pt idx="16">
                  <c:v>-3.2</c:v>
                </c:pt>
                <c:pt idx="17">
                  <c:v>-3.4</c:v>
                </c:pt>
                <c:pt idx="18">
                  <c:v>-3.6</c:v>
                </c:pt>
                <c:pt idx="19">
                  <c:v>-3.8</c:v>
                </c:pt>
                <c:pt idx="20">
                  <c:v>-4</c:v>
                </c:pt>
                <c:pt idx="21">
                  <c:v>-4.2</c:v>
                </c:pt>
                <c:pt idx="22">
                  <c:v>-4.4000000000000004</c:v>
                </c:pt>
                <c:pt idx="23">
                  <c:v>-4.5999999999999996</c:v>
                </c:pt>
                <c:pt idx="24">
                  <c:v>-4.8</c:v>
                </c:pt>
                <c:pt idx="25">
                  <c:v>-5</c:v>
                </c:pt>
                <c:pt idx="26">
                  <c:v>-5.2</c:v>
                </c:pt>
                <c:pt idx="27">
                  <c:v>-5.4</c:v>
                </c:pt>
                <c:pt idx="28">
                  <c:v>-5.6</c:v>
                </c:pt>
                <c:pt idx="29">
                  <c:v>-5.8</c:v>
                </c:pt>
                <c:pt idx="30">
                  <c:v>-6</c:v>
                </c:pt>
                <c:pt idx="31">
                  <c:v>-6.2</c:v>
                </c:pt>
                <c:pt idx="32">
                  <c:v>-6.4</c:v>
                </c:pt>
                <c:pt idx="33">
                  <c:v>-6.6</c:v>
                </c:pt>
                <c:pt idx="34">
                  <c:v>-6.8</c:v>
                </c:pt>
                <c:pt idx="35">
                  <c:v>-7</c:v>
                </c:pt>
                <c:pt idx="36">
                  <c:v>-7.2</c:v>
                </c:pt>
                <c:pt idx="37">
                  <c:v>-7.4</c:v>
                </c:pt>
                <c:pt idx="38">
                  <c:v>-7.6</c:v>
                </c:pt>
                <c:pt idx="39">
                  <c:v>-7.8</c:v>
                </c:pt>
                <c:pt idx="40">
                  <c:v>-8</c:v>
                </c:pt>
                <c:pt idx="41">
                  <c:v>-8.1999999999999993</c:v>
                </c:pt>
                <c:pt idx="42">
                  <c:v>-8.4</c:v>
                </c:pt>
                <c:pt idx="43">
                  <c:v>-8.6</c:v>
                </c:pt>
                <c:pt idx="44">
                  <c:v>-8.8000000000000007</c:v>
                </c:pt>
                <c:pt idx="45">
                  <c:v>-9</c:v>
                </c:pt>
                <c:pt idx="46">
                  <c:v>-9.1999999999999993</c:v>
                </c:pt>
                <c:pt idx="47">
                  <c:v>-9.4</c:v>
                </c:pt>
                <c:pt idx="48">
                  <c:v>-9.6</c:v>
                </c:pt>
                <c:pt idx="49">
                  <c:v>-9.8000000000000007</c:v>
                </c:pt>
                <c:pt idx="50">
                  <c:v>-10</c:v>
                </c:pt>
                <c:pt idx="51">
                  <c:v>-10.199999999999999</c:v>
                </c:pt>
                <c:pt idx="52">
                  <c:v>-10.4</c:v>
                </c:pt>
                <c:pt idx="53">
                  <c:v>-10.6</c:v>
                </c:pt>
                <c:pt idx="54">
                  <c:v>-10.8</c:v>
                </c:pt>
                <c:pt idx="55">
                  <c:v>-11</c:v>
                </c:pt>
                <c:pt idx="56">
                  <c:v>-11.2</c:v>
                </c:pt>
                <c:pt idx="57">
                  <c:v>-11.4</c:v>
                </c:pt>
                <c:pt idx="58">
                  <c:v>-11.6</c:v>
                </c:pt>
                <c:pt idx="59">
                  <c:v>-11.8</c:v>
                </c:pt>
                <c:pt idx="60">
                  <c:v>-12</c:v>
                </c:pt>
                <c:pt idx="61">
                  <c:v>-12.2</c:v>
                </c:pt>
                <c:pt idx="62">
                  <c:v>-12.4</c:v>
                </c:pt>
                <c:pt idx="63">
                  <c:v>-12.6</c:v>
                </c:pt>
                <c:pt idx="64">
                  <c:v>-12.8</c:v>
                </c:pt>
                <c:pt idx="65">
                  <c:v>-13</c:v>
                </c:pt>
                <c:pt idx="66">
                  <c:v>-13.2</c:v>
                </c:pt>
                <c:pt idx="67">
                  <c:v>-13.4</c:v>
                </c:pt>
                <c:pt idx="68">
                  <c:v>-13.6</c:v>
                </c:pt>
                <c:pt idx="69">
                  <c:v>-13.8</c:v>
                </c:pt>
                <c:pt idx="70">
                  <c:v>-14</c:v>
                </c:pt>
                <c:pt idx="71">
                  <c:v>-14.2</c:v>
                </c:pt>
                <c:pt idx="72">
                  <c:v>-14.4</c:v>
                </c:pt>
                <c:pt idx="73">
                  <c:v>-14.6</c:v>
                </c:pt>
                <c:pt idx="74">
                  <c:v>-14.8</c:v>
                </c:pt>
                <c:pt idx="75">
                  <c:v>-15</c:v>
                </c:pt>
                <c:pt idx="76">
                  <c:v>-15.2</c:v>
                </c:pt>
                <c:pt idx="77">
                  <c:v>-15.4</c:v>
                </c:pt>
                <c:pt idx="78">
                  <c:v>-15.6</c:v>
                </c:pt>
                <c:pt idx="79">
                  <c:v>-15.8</c:v>
                </c:pt>
                <c:pt idx="80">
                  <c:v>-16</c:v>
                </c:pt>
                <c:pt idx="81">
                  <c:v>-16.2</c:v>
                </c:pt>
                <c:pt idx="82">
                  <c:v>-16.399999999999999</c:v>
                </c:pt>
                <c:pt idx="83">
                  <c:v>-16.600000000000001</c:v>
                </c:pt>
                <c:pt idx="84">
                  <c:v>-16.8</c:v>
                </c:pt>
                <c:pt idx="85">
                  <c:v>-17</c:v>
                </c:pt>
              </c:numCache>
            </c:numRef>
          </c:xVal>
          <c:yVal>
            <c:numRef>
              <c:f>Arkusz1!$F$4:$F$89</c:f>
              <c:numCache>
                <c:formatCode>General</c:formatCode>
                <c:ptCount val="86"/>
                <c:pt idx="0">
                  <c:v>8.8000000000000007</c:v>
                </c:pt>
                <c:pt idx="1">
                  <c:v>8.16</c:v>
                </c:pt>
                <c:pt idx="2">
                  <c:v>7.71</c:v>
                </c:pt>
                <c:pt idx="3">
                  <c:v>7.29</c:v>
                </c:pt>
                <c:pt idx="4">
                  <c:v>6.43</c:v>
                </c:pt>
                <c:pt idx="5">
                  <c:v>5.53</c:v>
                </c:pt>
                <c:pt idx="6">
                  <c:v>4.9000000000000004</c:v>
                </c:pt>
                <c:pt idx="7">
                  <c:v>4.13</c:v>
                </c:pt>
                <c:pt idx="8">
                  <c:v>3.68</c:v>
                </c:pt>
                <c:pt idx="9">
                  <c:v>3.3</c:v>
                </c:pt>
                <c:pt idx="10">
                  <c:v>2.95</c:v>
                </c:pt>
                <c:pt idx="11">
                  <c:v>2.74</c:v>
                </c:pt>
                <c:pt idx="12">
                  <c:v>2.4</c:v>
                </c:pt>
                <c:pt idx="13">
                  <c:v>2.2000000000000002</c:v>
                </c:pt>
                <c:pt idx="14">
                  <c:v>1.87</c:v>
                </c:pt>
                <c:pt idx="15">
                  <c:v>1.61</c:v>
                </c:pt>
                <c:pt idx="16">
                  <c:v>1.21</c:v>
                </c:pt>
                <c:pt idx="17">
                  <c:v>0.99</c:v>
                </c:pt>
                <c:pt idx="18">
                  <c:v>0.65</c:v>
                </c:pt>
                <c:pt idx="19">
                  <c:v>0.44</c:v>
                </c:pt>
                <c:pt idx="20">
                  <c:v>0.3</c:v>
                </c:pt>
                <c:pt idx="21">
                  <c:v>0.15</c:v>
                </c:pt>
                <c:pt idx="22">
                  <c:v>7.0000000000000007E-2</c:v>
                </c:pt>
                <c:pt idx="23">
                  <c:v>0.04</c:v>
                </c:pt>
                <c:pt idx="24">
                  <c:v>0.02</c:v>
                </c:pt>
                <c:pt idx="25">
                  <c:v>0.01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0.02</c:v>
                </c:pt>
                <c:pt idx="30">
                  <c:v>0.04</c:v>
                </c:pt>
                <c:pt idx="31">
                  <c:v>7.0000000000000007E-2</c:v>
                </c:pt>
                <c:pt idx="32">
                  <c:v>0.09</c:v>
                </c:pt>
                <c:pt idx="33">
                  <c:v>0.11</c:v>
                </c:pt>
                <c:pt idx="34">
                  <c:v>0.13</c:v>
                </c:pt>
                <c:pt idx="35">
                  <c:v>0.14000000000000001</c:v>
                </c:pt>
                <c:pt idx="36">
                  <c:v>0.15</c:v>
                </c:pt>
                <c:pt idx="37">
                  <c:v>0.17</c:v>
                </c:pt>
                <c:pt idx="38">
                  <c:v>0.2</c:v>
                </c:pt>
                <c:pt idx="39">
                  <c:v>0.21</c:v>
                </c:pt>
                <c:pt idx="40">
                  <c:v>0.22</c:v>
                </c:pt>
                <c:pt idx="41">
                  <c:v>0.22</c:v>
                </c:pt>
                <c:pt idx="42">
                  <c:v>0.21</c:v>
                </c:pt>
                <c:pt idx="43">
                  <c:v>0.19</c:v>
                </c:pt>
                <c:pt idx="44">
                  <c:v>0.16</c:v>
                </c:pt>
                <c:pt idx="45">
                  <c:v>0.13</c:v>
                </c:pt>
                <c:pt idx="46">
                  <c:v>0.1</c:v>
                </c:pt>
                <c:pt idx="47">
                  <c:v>7.0000000000000007E-2</c:v>
                </c:pt>
                <c:pt idx="48">
                  <c:v>0.05</c:v>
                </c:pt>
                <c:pt idx="49">
                  <c:v>0.04</c:v>
                </c:pt>
                <c:pt idx="50">
                  <c:v>0.03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0.01</c:v>
                </c:pt>
                <c:pt idx="60">
                  <c:v>0</c:v>
                </c:pt>
                <c:pt idx="61">
                  <c:v>0.01</c:v>
                </c:pt>
                <c:pt idx="62">
                  <c:v>0.02</c:v>
                </c:pt>
                <c:pt idx="63">
                  <c:v>0.03</c:v>
                </c:pt>
                <c:pt idx="64">
                  <c:v>0.04</c:v>
                </c:pt>
                <c:pt idx="65">
                  <c:v>0.04</c:v>
                </c:pt>
                <c:pt idx="66">
                  <c:v>0.05</c:v>
                </c:pt>
                <c:pt idx="67">
                  <c:v>0.06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0.03</c:v>
                </c:pt>
                <c:pt idx="78">
                  <c:v>0.02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637-4528-9086-5C00F694F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749343"/>
        <c:axId val="527752703"/>
      </c:scatterChart>
      <c:valAx>
        <c:axId val="52774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52703"/>
        <c:crosses val="autoZero"/>
        <c:crossBetween val="midCat"/>
      </c:valAx>
      <c:valAx>
        <c:axId val="5277527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49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gora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Arkusz1!$O$4:$O$54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xVal>
          <c:yVal>
            <c:numRef>
              <c:f>Arkusz1!$P$4:$P$54</c:f>
              <c:numCache>
                <c:formatCode>General</c:formatCode>
                <c:ptCount val="51"/>
                <c:pt idx="0">
                  <c:v>17.5</c:v>
                </c:pt>
                <c:pt idx="1">
                  <c:v>12.74</c:v>
                </c:pt>
                <c:pt idx="2">
                  <c:v>6.09</c:v>
                </c:pt>
                <c:pt idx="3">
                  <c:v>2.82</c:v>
                </c:pt>
                <c:pt idx="4">
                  <c:v>2</c:v>
                </c:pt>
                <c:pt idx="5">
                  <c:v>1.35</c:v>
                </c:pt>
                <c:pt idx="6">
                  <c:v>1.21</c:v>
                </c:pt>
                <c:pt idx="7">
                  <c:v>2.16</c:v>
                </c:pt>
                <c:pt idx="8">
                  <c:v>3.37</c:v>
                </c:pt>
                <c:pt idx="9">
                  <c:v>3.23</c:v>
                </c:pt>
                <c:pt idx="10">
                  <c:v>1.81</c:v>
                </c:pt>
                <c:pt idx="11">
                  <c:v>0.67</c:v>
                </c:pt>
                <c:pt idx="12">
                  <c:v>0.33</c:v>
                </c:pt>
                <c:pt idx="13">
                  <c:v>0.28000000000000003</c:v>
                </c:pt>
                <c:pt idx="14">
                  <c:v>0.45</c:v>
                </c:pt>
                <c:pt idx="15">
                  <c:v>1.1000000000000001</c:v>
                </c:pt>
                <c:pt idx="16">
                  <c:v>1.78</c:v>
                </c:pt>
                <c:pt idx="17">
                  <c:v>1.8</c:v>
                </c:pt>
                <c:pt idx="18">
                  <c:v>1.1100000000000001</c:v>
                </c:pt>
                <c:pt idx="19">
                  <c:v>0.48</c:v>
                </c:pt>
                <c:pt idx="20">
                  <c:v>0.14000000000000001</c:v>
                </c:pt>
                <c:pt idx="21">
                  <c:v>7.0000000000000007E-2</c:v>
                </c:pt>
                <c:pt idx="22">
                  <c:v>0.13</c:v>
                </c:pt>
                <c:pt idx="23">
                  <c:v>0.41</c:v>
                </c:pt>
                <c:pt idx="24">
                  <c:v>0.92</c:v>
                </c:pt>
                <c:pt idx="25">
                  <c:v>1.1000000000000001</c:v>
                </c:pt>
                <c:pt idx="26">
                  <c:v>0.9</c:v>
                </c:pt>
                <c:pt idx="27">
                  <c:v>0.44</c:v>
                </c:pt>
                <c:pt idx="28">
                  <c:v>0.14000000000000001</c:v>
                </c:pt>
                <c:pt idx="29">
                  <c:v>0.06</c:v>
                </c:pt>
                <c:pt idx="30">
                  <c:v>0.09</c:v>
                </c:pt>
                <c:pt idx="31">
                  <c:v>0.25</c:v>
                </c:pt>
                <c:pt idx="32">
                  <c:v>0.51</c:v>
                </c:pt>
                <c:pt idx="33">
                  <c:v>0.67</c:v>
                </c:pt>
                <c:pt idx="34">
                  <c:v>0.56999999999999995</c:v>
                </c:pt>
                <c:pt idx="35">
                  <c:v>0.32</c:v>
                </c:pt>
                <c:pt idx="36">
                  <c:v>0.13</c:v>
                </c:pt>
                <c:pt idx="37">
                  <c:v>0.05</c:v>
                </c:pt>
                <c:pt idx="38">
                  <c:v>0.05</c:v>
                </c:pt>
                <c:pt idx="39">
                  <c:v>0.12</c:v>
                </c:pt>
                <c:pt idx="40">
                  <c:v>0.35</c:v>
                </c:pt>
                <c:pt idx="41">
                  <c:v>0.56999999999999995</c:v>
                </c:pt>
                <c:pt idx="42">
                  <c:v>0.59</c:v>
                </c:pt>
                <c:pt idx="43">
                  <c:v>0.39</c:v>
                </c:pt>
                <c:pt idx="44">
                  <c:v>0.17</c:v>
                </c:pt>
                <c:pt idx="45">
                  <c:v>0.05</c:v>
                </c:pt>
                <c:pt idx="46">
                  <c:v>0.03</c:v>
                </c:pt>
                <c:pt idx="47">
                  <c:v>0.08</c:v>
                </c:pt>
                <c:pt idx="48">
                  <c:v>0.18</c:v>
                </c:pt>
                <c:pt idx="49">
                  <c:v>0.33</c:v>
                </c:pt>
                <c:pt idx="50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C-4AE9-AB48-14F8B4A44E76}"/>
            </c:ext>
          </c:extLst>
        </c:ser>
        <c:ser>
          <c:idx val="1"/>
          <c:order val="1"/>
          <c:tx>
            <c:v>dol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Arkusz1!$R$4:$R$54</c:f>
              <c:numCache>
                <c:formatCode>General</c:formatCode>
                <c:ptCount val="51"/>
                <c:pt idx="0">
                  <c:v>0</c:v>
                </c:pt>
                <c:pt idx="1">
                  <c:v>-0.2</c:v>
                </c:pt>
                <c:pt idx="2">
                  <c:v>-0.4</c:v>
                </c:pt>
                <c:pt idx="3">
                  <c:v>-0.6</c:v>
                </c:pt>
                <c:pt idx="4">
                  <c:v>-0.8</c:v>
                </c:pt>
                <c:pt idx="5">
                  <c:v>-1</c:v>
                </c:pt>
                <c:pt idx="6">
                  <c:v>-1.2</c:v>
                </c:pt>
                <c:pt idx="7">
                  <c:v>-1.4</c:v>
                </c:pt>
                <c:pt idx="8">
                  <c:v>-1.6</c:v>
                </c:pt>
                <c:pt idx="9">
                  <c:v>-1.8</c:v>
                </c:pt>
                <c:pt idx="10">
                  <c:v>-2</c:v>
                </c:pt>
                <c:pt idx="11">
                  <c:v>-2.2000000000000002</c:v>
                </c:pt>
                <c:pt idx="12">
                  <c:v>-2.4</c:v>
                </c:pt>
                <c:pt idx="13">
                  <c:v>-2.6</c:v>
                </c:pt>
                <c:pt idx="14">
                  <c:v>-2.8</c:v>
                </c:pt>
                <c:pt idx="15">
                  <c:v>-3</c:v>
                </c:pt>
                <c:pt idx="16">
                  <c:v>-3.2</c:v>
                </c:pt>
                <c:pt idx="17">
                  <c:v>-3.4</c:v>
                </c:pt>
                <c:pt idx="18">
                  <c:v>-3.6</c:v>
                </c:pt>
                <c:pt idx="19">
                  <c:v>-3.8</c:v>
                </c:pt>
                <c:pt idx="20">
                  <c:v>-4</c:v>
                </c:pt>
                <c:pt idx="21">
                  <c:v>-4.2</c:v>
                </c:pt>
                <c:pt idx="22">
                  <c:v>-4.4000000000000004</c:v>
                </c:pt>
                <c:pt idx="23">
                  <c:v>-4.5999999999999996</c:v>
                </c:pt>
                <c:pt idx="24">
                  <c:v>-4.8</c:v>
                </c:pt>
                <c:pt idx="25">
                  <c:v>-5</c:v>
                </c:pt>
                <c:pt idx="26">
                  <c:v>-5.2</c:v>
                </c:pt>
                <c:pt idx="27">
                  <c:v>-5.4</c:v>
                </c:pt>
                <c:pt idx="28">
                  <c:v>-5.6</c:v>
                </c:pt>
                <c:pt idx="29">
                  <c:v>-5.8</c:v>
                </c:pt>
                <c:pt idx="30">
                  <c:v>-6</c:v>
                </c:pt>
                <c:pt idx="31">
                  <c:v>-6.2</c:v>
                </c:pt>
                <c:pt idx="32">
                  <c:v>-6.4</c:v>
                </c:pt>
                <c:pt idx="33">
                  <c:v>-6.6</c:v>
                </c:pt>
                <c:pt idx="34">
                  <c:v>-6.8</c:v>
                </c:pt>
                <c:pt idx="35">
                  <c:v>-7</c:v>
                </c:pt>
                <c:pt idx="36">
                  <c:v>-7.2</c:v>
                </c:pt>
                <c:pt idx="37">
                  <c:v>-7.4</c:v>
                </c:pt>
                <c:pt idx="38">
                  <c:v>-7.6</c:v>
                </c:pt>
                <c:pt idx="39">
                  <c:v>-7.8</c:v>
                </c:pt>
                <c:pt idx="40">
                  <c:v>-8</c:v>
                </c:pt>
                <c:pt idx="41">
                  <c:v>-8.1999999999999993</c:v>
                </c:pt>
                <c:pt idx="42">
                  <c:v>-8.4</c:v>
                </c:pt>
                <c:pt idx="43">
                  <c:v>-8.6</c:v>
                </c:pt>
                <c:pt idx="44">
                  <c:v>-8.8000000000000007</c:v>
                </c:pt>
                <c:pt idx="45">
                  <c:v>-9</c:v>
                </c:pt>
                <c:pt idx="46">
                  <c:v>-9.1999999999999993</c:v>
                </c:pt>
                <c:pt idx="47">
                  <c:v>-9.4</c:v>
                </c:pt>
                <c:pt idx="48">
                  <c:v>-9.6</c:v>
                </c:pt>
                <c:pt idx="49">
                  <c:v>-9.8000000000000007</c:v>
                </c:pt>
                <c:pt idx="50">
                  <c:v>-10</c:v>
                </c:pt>
              </c:numCache>
            </c:numRef>
          </c:xVal>
          <c:yVal>
            <c:numRef>
              <c:f>Arkusz1!$S$4:$S$54</c:f>
              <c:numCache>
                <c:formatCode>General</c:formatCode>
                <c:ptCount val="51"/>
                <c:pt idx="0">
                  <c:v>17.850000000000001</c:v>
                </c:pt>
                <c:pt idx="1">
                  <c:v>17.54</c:v>
                </c:pt>
                <c:pt idx="2">
                  <c:v>25.93</c:v>
                </c:pt>
                <c:pt idx="3">
                  <c:v>86.16</c:v>
                </c:pt>
                <c:pt idx="4">
                  <c:v>171.49</c:v>
                </c:pt>
                <c:pt idx="5">
                  <c:v>264.60000000000002</c:v>
                </c:pt>
                <c:pt idx="6">
                  <c:v>302.8</c:v>
                </c:pt>
                <c:pt idx="7">
                  <c:v>275.2</c:v>
                </c:pt>
                <c:pt idx="8">
                  <c:v>193.7</c:v>
                </c:pt>
                <c:pt idx="9">
                  <c:v>95.23</c:v>
                </c:pt>
                <c:pt idx="10">
                  <c:v>32.28</c:v>
                </c:pt>
                <c:pt idx="11">
                  <c:v>18.399999999999999</c:v>
                </c:pt>
                <c:pt idx="12">
                  <c:v>20.9</c:v>
                </c:pt>
                <c:pt idx="13">
                  <c:v>18.559999999999999</c:v>
                </c:pt>
                <c:pt idx="14">
                  <c:v>9.7100000000000009</c:v>
                </c:pt>
                <c:pt idx="15">
                  <c:v>4.01</c:v>
                </c:pt>
                <c:pt idx="16">
                  <c:v>2.31</c:v>
                </c:pt>
                <c:pt idx="17">
                  <c:v>1.75</c:v>
                </c:pt>
                <c:pt idx="18">
                  <c:v>1.28</c:v>
                </c:pt>
                <c:pt idx="19">
                  <c:v>1.84</c:v>
                </c:pt>
                <c:pt idx="20">
                  <c:v>3.17</c:v>
                </c:pt>
                <c:pt idx="21">
                  <c:v>3.35</c:v>
                </c:pt>
                <c:pt idx="22">
                  <c:v>2.2000000000000002</c:v>
                </c:pt>
                <c:pt idx="23">
                  <c:v>0.84</c:v>
                </c:pt>
                <c:pt idx="24">
                  <c:v>0.3</c:v>
                </c:pt>
                <c:pt idx="25">
                  <c:v>0.22</c:v>
                </c:pt>
                <c:pt idx="26">
                  <c:v>0.32</c:v>
                </c:pt>
                <c:pt idx="27">
                  <c:v>0.72</c:v>
                </c:pt>
                <c:pt idx="28">
                  <c:v>1.49</c:v>
                </c:pt>
                <c:pt idx="29">
                  <c:v>1.93</c:v>
                </c:pt>
                <c:pt idx="30">
                  <c:v>1.44</c:v>
                </c:pt>
                <c:pt idx="31">
                  <c:v>0.56999999999999995</c:v>
                </c:pt>
                <c:pt idx="32">
                  <c:v>0.15</c:v>
                </c:pt>
                <c:pt idx="33">
                  <c:v>0.06</c:v>
                </c:pt>
                <c:pt idx="34">
                  <c:v>0.11</c:v>
                </c:pt>
                <c:pt idx="35">
                  <c:v>0.35</c:v>
                </c:pt>
                <c:pt idx="36">
                  <c:v>0.72</c:v>
                </c:pt>
                <c:pt idx="37">
                  <c:v>1.0900000000000001</c:v>
                </c:pt>
                <c:pt idx="38">
                  <c:v>1.02</c:v>
                </c:pt>
                <c:pt idx="39">
                  <c:v>0.6</c:v>
                </c:pt>
                <c:pt idx="40">
                  <c:v>0.2</c:v>
                </c:pt>
                <c:pt idx="41">
                  <c:v>0.05</c:v>
                </c:pt>
                <c:pt idx="42">
                  <c:v>0.06</c:v>
                </c:pt>
                <c:pt idx="43">
                  <c:v>0.23</c:v>
                </c:pt>
                <c:pt idx="44">
                  <c:v>0.51</c:v>
                </c:pt>
                <c:pt idx="45">
                  <c:v>0.81</c:v>
                </c:pt>
                <c:pt idx="46">
                  <c:v>0.82</c:v>
                </c:pt>
                <c:pt idx="47">
                  <c:v>0.54</c:v>
                </c:pt>
                <c:pt idx="48">
                  <c:v>0.22</c:v>
                </c:pt>
                <c:pt idx="49">
                  <c:v>0.08</c:v>
                </c:pt>
                <c:pt idx="50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C-4AE9-AB48-14F8B4A44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117696"/>
        <c:axId val="1140116736"/>
      </c:scatterChart>
      <c:valAx>
        <c:axId val="11401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0116736"/>
        <c:crosses val="autoZero"/>
        <c:crossBetween val="midCat"/>
      </c:valAx>
      <c:valAx>
        <c:axId val="11401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01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307319</xdr:colOff>
      <xdr:row>2</xdr:row>
      <xdr:rowOff>130896</xdr:rowOff>
    </xdr:from>
    <xdr:to>
      <xdr:col>13</xdr:col>
      <xdr:colOff>307319</xdr:colOff>
      <xdr:row>17</xdr:row>
      <xdr:rowOff>98239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F5E75AD-709D-2FE3-0FB7-A0BC1AE45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361404</xdr:colOff>
      <xdr:row>19</xdr:row>
      <xdr:rowOff>117567</xdr:rowOff>
    </xdr:from>
    <xdr:to>
      <xdr:col>13</xdr:col>
      <xdr:colOff>361404</xdr:colOff>
      <xdr:row>34</xdr:row>
      <xdr:rowOff>89265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663EB74-E642-4300-8D34-690C4F9D2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81</xdr:row>
      <xdr:rowOff>0</xdr:rowOff>
    </xdr:from>
    <xdr:to>
      <xdr:col>22</xdr:col>
      <xdr:colOff>1186069</xdr:colOff>
      <xdr:row>95</xdr:row>
      <xdr:rowOff>151786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7F36C2E2-24E8-4703-8A3A-7CE52703A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118462</xdr:colOff>
      <xdr:row>3</xdr:row>
      <xdr:rowOff>23757</xdr:rowOff>
    </xdr:from>
    <xdr:to>
      <xdr:col>22</xdr:col>
      <xdr:colOff>1396957</xdr:colOff>
      <xdr:row>18</xdr:row>
      <xdr:rowOff>74281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2553721-9B2C-1D14-FE3E-386BEEC64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5591-107B-4BDA-86EB-8A2FF42EE00F}">
  <dimension ref="B2:Z128"/>
  <sheetViews>
    <sheetView tabSelected="1" topLeftCell="W109" zoomScale="130" zoomScaleNormal="130" workbookViewId="0">
      <selection activeCell="X125" sqref="X125"/>
    </sheetView>
  </sheetViews>
  <sheetFormatPr defaultRowHeight="14.4" x14ac:dyDescent="0.3"/>
  <cols>
    <col min="21" max="21" width="25.6640625" bestFit="1" customWidth="1"/>
    <col min="22" max="22" width="22.33203125" bestFit="1" customWidth="1"/>
    <col min="23" max="23" width="24" bestFit="1" customWidth="1"/>
    <col min="24" max="24" width="30.44140625" bestFit="1" customWidth="1"/>
    <col min="25" max="25" width="31.88671875" bestFit="1" customWidth="1"/>
  </cols>
  <sheetData>
    <row r="2" spans="2:20" x14ac:dyDescent="0.3">
      <c r="B2" t="s">
        <v>2</v>
      </c>
      <c r="E2">
        <v>70</v>
      </c>
      <c r="H2" t="s">
        <v>10</v>
      </c>
      <c r="I2">
        <v>0.63</v>
      </c>
      <c r="J2" s="1" t="s">
        <v>9</v>
      </c>
    </row>
    <row r="3" spans="2:20" x14ac:dyDescent="0.3">
      <c r="B3" t="s">
        <v>0</v>
      </c>
      <c r="C3" t="s">
        <v>1</v>
      </c>
      <c r="E3" t="s">
        <v>3</v>
      </c>
      <c r="F3" t="s">
        <v>1</v>
      </c>
      <c r="O3" t="s">
        <v>0</v>
      </c>
      <c r="P3" s="2" t="s">
        <v>1</v>
      </c>
      <c r="Q3" s="2" t="s">
        <v>34</v>
      </c>
      <c r="R3" t="s">
        <v>0</v>
      </c>
      <c r="S3" s="2" t="s">
        <v>1</v>
      </c>
      <c r="T3" s="2" t="s">
        <v>34</v>
      </c>
    </row>
    <row r="4" spans="2:20" x14ac:dyDescent="0.3">
      <c r="B4">
        <v>0</v>
      </c>
      <c r="C4">
        <v>8.8800000000000008</v>
      </c>
      <c r="E4">
        <v>0</v>
      </c>
      <c r="F4">
        <v>8.8000000000000007</v>
      </c>
      <c r="O4">
        <v>0</v>
      </c>
      <c r="P4" s="4">
        <v>17.5</v>
      </c>
      <c r="Q4" s="5">
        <v>1.4</v>
      </c>
      <c r="R4">
        <v>0</v>
      </c>
      <c r="S4" s="4">
        <v>17.850000000000001</v>
      </c>
      <c r="T4" s="5">
        <v>1.2</v>
      </c>
    </row>
    <row r="5" spans="2:20" x14ac:dyDescent="0.3">
      <c r="B5">
        <v>0.2</v>
      </c>
      <c r="C5">
        <v>8.66</v>
      </c>
      <c r="E5">
        <v>-0.2</v>
      </c>
      <c r="F5">
        <v>8.16</v>
      </c>
      <c r="O5">
        <v>0.2</v>
      </c>
      <c r="P5" s="4">
        <v>12.74</v>
      </c>
      <c r="Q5" s="5">
        <v>1.6</v>
      </c>
      <c r="R5">
        <v>-0.2</v>
      </c>
      <c r="S5" s="4">
        <v>17.54</v>
      </c>
      <c r="T5" s="5">
        <v>1</v>
      </c>
    </row>
    <row r="6" spans="2:20" x14ac:dyDescent="0.3">
      <c r="B6">
        <v>0.4</v>
      </c>
      <c r="C6">
        <v>8.2899999999999991</v>
      </c>
      <c r="E6">
        <v>-0.4</v>
      </c>
      <c r="F6">
        <v>7.71</v>
      </c>
      <c r="O6">
        <v>0.4</v>
      </c>
      <c r="P6" s="4">
        <v>6.09</v>
      </c>
      <c r="Q6" s="5">
        <v>1.8</v>
      </c>
      <c r="R6">
        <v>-0.4</v>
      </c>
      <c r="S6" s="4">
        <v>25.93</v>
      </c>
      <c r="T6" s="5">
        <v>0.8</v>
      </c>
    </row>
    <row r="7" spans="2:20" x14ac:dyDescent="0.3">
      <c r="B7">
        <v>0.6</v>
      </c>
      <c r="C7">
        <v>7.65</v>
      </c>
      <c r="E7">
        <v>-0.6</v>
      </c>
      <c r="F7">
        <v>7.29</v>
      </c>
      <c r="O7">
        <v>0.6</v>
      </c>
      <c r="P7" s="4">
        <v>2.82</v>
      </c>
      <c r="Q7" s="5">
        <v>2</v>
      </c>
      <c r="R7">
        <v>-0.6</v>
      </c>
      <c r="S7" s="4">
        <v>86.16</v>
      </c>
      <c r="T7" s="5">
        <v>0.6</v>
      </c>
    </row>
    <row r="8" spans="2:20" x14ac:dyDescent="0.3">
      <c r="B8">
        <v>0.8</v>
      </c>
      <c r="C8">
        <v>7.17</v>
      </c>
      <c r="E8">
        <v>-0.8</v>
      </c>
      <c r="F8">
        <v>6.43</v>
      </c>
      <c r="O8">
        <v>0.8</v>
      </c>
      <c r="P8" s="4">
        <v>2</v>
      </c>
      <c r="Q8" s="5">
        <v>2.2000000000000002</v>
      </c>
      <c r="R8">
        <v>-0.8</v>
      </c>
      <c r="S8" s="4">
        <v>171.49</v>
      </c>
      <c r="T8" s="5">
        <v>0.4</v>
      </c>
    </row>
    <row r="9" spans="2:20" x14ac:dyDescent="0.3">
      <c r="B9">
        <v>1</v>
      </c>
      <c r="C9">
        <v>6.88</v>
      </c>
      <c r="E9">
        <v>-1</v>
      </c>
      <c r="F9">
        <v>5.53</v>
      </c>
      <c r="O9">
        <v>1</v>
      </c>
      <c r="P9" s="4">
        <v>1.35</v>
      </c>
      <c r="Q9" s="5">
        <v>2.4</v>
      </c>
      <c r="R9">
        <v>-1</v>
      </c>
      <c r="S9" s="4">
        <v>264.60000000000002</v>
      </c>
      <c r="T9" s="5">
        <v>0.2</v>
      </c>
    </row>
    <row r="10" spans="2:20" x14ac:dyDescent="0.3">
      <c r="B10">
        <v>1.2</v>
      </c>
      <c r="C10">
        <v>6.77</v>
      </c>
      <c r="E10">
        <v>-1.2</v>
      </c>
      <c r="F10">
        <v>4.9000000000000004</v>
      </c>
      <c r="O10">
        <v>1.2</v>
      </c>
      <c r="P10" s="4">
        <v>1.21</v>
      </c>
      <c r="Q10" s="5">
        <v>2.6</v>
      </c>
      <c r="R10" s="3">
        <v>-1.2</v>
      </c>
      <c r="S10" s="8">
        <v>302.8</v>
      </c>
      <c r="T10" s="5">
        <v>0</v>
      </c>
    </row>
    <row r="11" spans="2:20" x14ac:dyDescent="0.3">
      <c r="B11">
        <v>1.4</v>
      </c>
      <c r="C11">
        <v>6.81</v>
      </c>
      <c r="E11">
        <v>-1.4</v>
      </c>
      <c r="F11">
        <v>4.13</v>
      </c>
      <c r="O11">
        <v>1.4</v>
      </c>
      <c r="P11" s="4">
        <v>2.16</v>
      </c>
      <c r="Q11" s="5">
        <v>2.8</v>
      </c>
      <c r="R11">
        <v>-1.4</v>
      </c>
      <c r="S11" s="4">
        <v>275.2</v>
      </c>
      <c r="T11" s="5">
        <v>-0.2</v>
      </c>
    </row>
    <row r="12" spans="2:20" x14ac:dyDescent="0.3">
      <c r="B12">
        <v>1.6</v>
      </c>
      <c r="C12">
        <v>6.8</v>
      </c>
      <c r="E12">
        <v>-1.6</v>
      </c>
      <c r="F12">
        <v>3.68</v>
      </c>
      <c r="O12">
        <v>1.6</v>
      </c>
      <c r="P12" s="4">
        <v>3.37</v>
      </c>
      <c r="Q12" s="5">
        <v>3</v>
      </c>
      <c r="R12">
        <v>-1.6</v>
      </c>
      <c r="S12" s="4">
        <v>193.7</v>
      </c>
      <c r="T12" s="5">
        <v>-0.4</v>
      </c>
    </row>
    <row r="13" spans="2:20" x14ac:dyDescent="0.3">
      <c r="B13">
        <v>1.8</v>
      </c>
      <c r="C13">
        <v>6.91</v>
      </c>
      <c r="E13">
        <v>-1.8</v>
      </c>
      <c r="F13">
        <v>3.3</v>
      </c>
      <c r="O13">
        <v>1.8</v>
      </c>
      <c r="P13" s="4">
        <v>3.23</v>
      </c>
      <c r="Q13" s="5">
        <v>3.2</v>
      </c>
      <c r="R13">
        <v>-1.8</v>
      </c>
      <c r="S13" s="4">
        <v>95.23</v>
      </c>
      <c r="T13" s="5">
        <v>-0.6</v>
      </c>
    </row>
    <row r="14" spans="2:20" x14ac:dyDescent="0.3">
      <c r="B14">
        <v>2</v>
      </c>
      <c r="C14">
        <v>6.91</v>
      </c>
      <c r="E14">
        <v>-2</v>
      </c>
      <c r="F14">
        <v>2.95</v>
      </c>
      <c r="O14">
        <v>2</v>
      </c>
      <c r="P14" s="4">
        <v>1.81</v>
      </c>
      <c r="Q14" s="5">
        <v>3.4</v>
      </c>
      <c r="R14">
        <v>-2</v>
      </c>
      <c r="S14" s="4">
        <v>32.28</v>
      </c>
      <c r="T14" s="5">
        <v>-0.8</v>
      </c>
    </row>
    <row r="15" spans="2:20" x14ac:dyDescent="0.3">
      <c r="B15">
        <v>2.2000000000000002</v>
      </c>
      <c r="C15">
        <v>6.92</v>
      </c>
      <c r="E15">
        <v>-2.2000000000000002</v>
      </c>
      <c r="F15">
        <v>2.74</v>
      </c>
      <c r="O15">
        <v>2.2000000000000002</v>
      </c>
      <c r="P15" s="4">
        <v>0.67</v>
      </c>
      <c r="Q15" s="5">
        <v>3.6</v>
      </c>
      <c r="R15">
        <v>-2.2000000000000002</v>
      </c>
      <c r="S15" s="4">
        <v>18.399999999999999</v>
      </c>
      <c r="T15" s="5">
        <v>-1</v>
      </c>
    </row>
    <row r="16" spans="2:20" x14ac:dyDescent="0.3">
      <c r="B16">
        <v>2.4</v>
      </c>
      <c r="C16">
        <v>6.81</v>
      </c>
      <c r="E16">
        <v>-2.4</v>
      </c>
      <c r="F16">
        <v>2.4</v>
      </c>
      <c r="O16">
        <v>2.4</v>
      </c>
      <c r="P16" s="4">
        <v>0.33</v>
      </c>
      <c r="Q16" s="5">
        <v>3.8</v>
      </c>
      <c r="R16">
        <v>-2.4</v>
      </c>
      <c r="S16" s="4">
        <v>20.9</v>
      </c>
      <c r="T16" s="5">
        <v>-1.2</v>
      </c>
    </row>
    <row r="17" spans="2:20" x14ac:dyDescent="0.3">
      <c r="B17">
        <v>2.6</v>
      </c>
      <c r="C17">
        <v>6.51</v>
      </c>
      <c r="E17">
        <v>-2.6</v>
      </c>
      <c r="F17">
        <v>2.2000000000000002</v>
      </c>
      <c r="O17">
        <v>2.6</v>
      </c>
      <c r="P17" s="4">
        <v>0.28000000000000003</v>
      </c>
      <c r="Q17" s="5">
        <v>4</v>
      </c>
      <c r="R17">
        <v>-2.6</v>
      </c>
      <c r="S17" s="4">
        <v>18.559999999999999</v>
      </c>
      <c r="T17" s="5">
        <v>-1.4</v>
      </c>
    </row>
    <row r="18" spans="2:20" x14ac:dyDescent="0.3">
      <c r="B18">
        <v>2.8</v>
      </c>
      <c r="C18">
        <v>6.21</v>
      </c>
      <c r="E18">
        <v>-2.8</v>
      </c>
      <c r="F18">
        <v>1.87</v>
      </c>
      <c r="O18">
        <v>2.8</v>
      </c>
      <c r="P18" s="4">
        <v>0.45</v>
      </c>
      <c r="Q18" s="5">
        <v>4.2</v>
      </c>
      <c r="R18">
        <v>-2.8</v>
      </c>
      <c r="S18" s="4">
        <v>9.7100000000000009</v>
      </c>
      <c r="T18" s="5">
        <v>-1.6</v>
      </c>
    </row>
    <row r="19" spans="2:20" x14ac:dyDescent="0.3">
      <c r="B19">
        <v>3</v>
      </c>
      <c r="C19">
        <v>5.78</v>
      </c>
      <c r="E19">
        <v>-3</v>
      </c>
      <c r="F19">
        <v>1.61</v>
      </c>
      <c r="O19">
        <v>3</v>
      </c>
      <c r="P19" s="4">
        <v>1.1000000000000001</v>
      </c>
      <c r="Q19" s="5">
        <v>4.4000000000000004</v>
      </c>
      <c r="R19">
        <v>-3</v>
      </c>
      <c r="S19" s="4">
        <v>4.01</v>
      </c>
      <c r="T19" s="5">
        <v>-1.8</v>
      </c>
    </row>
    <row r="20" spans="2:20" x14ac:dyDescent="0.3">
      <c r="B20">
        <v>3.2</v>
      </c>
      <c r="C20">
        <v>5.0999999999999996</v>
      </c>
      <c r="E20">
        <v>-3.2</v>
      </c>
      <c r="F20">
        <v>1.21</v>
      </c>
      <c r="O20">
        <v>3.2</v>
      </c>
      <c r="P20" s="4">
        <v>1.78</v>
      </c>
      <c r="Q20" s="5">
        <v>4.5999999999999996</v>
      </c>
      <c r="R20">
        <v>-3.2</v>
      </c>
      <c r="S20" s="4">
        <v>2.31</v>
      </c>
      <c r="T20" s="5">
        <v>-2</v>
      </c>
    </row>
    <row r="21" spans="2:20" x14ac:dyDescent="0.3">
      <c r="B21">
        <v>3.4</v>
      </c>
      <c r="C21">
        <v>4.4000000000000004</v>
      </c>
      <c r="E21">
        <v>-3.4</v>
      </c>
      <c r="F21">
        <v>0.99</v>
      </c>
      <c r="O21">
        <v>3.4</v>
      </c>
      <c r="P21" s="4">
        <v>1.8</v>
      </c>
      <c r="Q21" s="5">
        <v>4.8</v>
      </c>
      <c r="R21">
        <v>-3.4</v>
      </c>
      <c r="S21" s="4">
        <v>1.75</v>
      </c>
      <c r="T21" s="5">
        <v>-2.2000000000000002</v>
      </c>
    </row>
    <row r="22" spans="2:20" x14ac:dyDescent="0.3">
      <c r="B22">
        <v>3.6</v>
      </c>
      <c r="C22">
        <v>3.6</v>
      </c>
      <c r="E22">
        <v>-3.6</v>
      </c>
      <c r="F22">
        <v>0.65</v>
      </c>
      <c r="O22">
        <v>3.6</v>
      </c>
      <c r="P22" s="4">
        <v>1.1100000000000001</v>
      </c>
      <c r="Q22" s="5">
        <v>5</v>
      </c>
      <c r="R22">
        <v>-3.6</v>
      </c>
      <c r="S22" s="4">
        <v>1.28</v>
      </c>
      <c r="T22" s="5">
        <v>-2.4</v>
      </c>
    </row>
    <row r="23" spans="2:20" x14ac:dyDescent="0.3">
      <c r="B23">
        <v>3.8</v>
      </c>
      <c r="C23">
        <v>2.91</v>
      </c>
      <c r="E23">
        <v>-3.8</v>
      </c>
      <c r="F23">
        <v>0.44</v>
      </c>
      <c r="O23">
        <v>3.8</v>
      </c>
      <c r="P23" s="4">
        <v>0.48</v>
      </c>
      <c r="Q23" s="5">
        <v>5.2</v>
      </c>
      <c r="R23">
        <v>-3.8</v>
      </c>
      <c r="S23" s="4">
        <v>1.84</v>
      </c>
      <c r="T23" s="5">
        <v>-2.6</v>
      </c>
    </row>
    <row r="24" spans="2:20" x14ac:dyDescent="0.3">
      <c r="B24">
        <v>4</v>
      </c>
      <c r="C24">
        <v>2.4500000000000002</v>
      </c>
      <c r="E24">
        <v>-4</v>
      </c>
      <c r="F24">
        <v>0.3</v>
      </c>
      <c r="O24">
        <v>4</v>
      </c>
      <c r="P24" s="4">
        <v>0.14000000000000001</v>
      </c>
      <c r="Q24" s="5">
        <v>5.4</v>
      </c>
      <c r="R24">
        <v>-4</v>
      </c>
      <c r="S24" s="4">
        <v>3.17</v>
      </c>
      <c r="T24" s="5">
        <v>-2.8</v>
      </c>
    </row>
    <row r="25" spans="2:20" x14ac:dyDescent="0.3">
      <c r="B25">
        <v>4.2</v>
      </c>
      <c r="C25">
        <v>1.94</v>
      </c>
      <c r="E25">
        <v>-4.2</v>
      </c>
      <c r="F25">
        <v>0.15</v>
      </c>
      <c r="O25">
        <v>4.2</v>
      </c>
      <c r="P25" s="4">
        <v>7.0000000000000007E-2</v>
      </c>
      <c r="Q25" s="5">
        <v>5.6</v>
      </c>
      <c r="R25">
        <v>-4.2</v>
      </c>
      <c r="S25" s="4">
        <v>3.35</v>
      </c>
      <c r="T25" s="5">
        <v>-3</v>
      </c>
    </row>
    <row r="26" spans="2:20" x14ac:dyDescent="0.3">
      <c r="B26">
        <v>4.4000000000000004</v>
      </c>
      <c r="C26">
        <v>1.56</v>
      </c>
      <c r="E26">
        <v>-4.4000000000000004</v>
      </c>
      <c r="F26">
        <v>7.0000000000000007E-2</v>
      </c>
      <c r="O26">
        <v>4.4000000000000004</v>
      </c>
      <c r="P26" s="4">
        <v>0.13</v>
      </c>
      <c r="Q26" s="5">
        <v>5.8</v>
      </c>
      <c r="R26">
        <v>-4.4000000000000004</v>
      </c>
      <c r="S26" s="4">
        <v>2.2000000000000002</v>
      </c>
      <c r="T26" s="5">
        <v>-3.2</v>
      </c>
    </row>
    <row r="27" spans="2:20" x14ac:dyDescent="0.3">
      <c r="B27">
        <v>4.5999999999999996</v>
      </c>
      <c r="C27">
        <v>1.21</v>
      </c>
      <c r="E27">
        <v>-4.5999999999999996</v>
      </c>
      <c r="F27">
        <v>0.04</v>
      </c>
      <c r="O27">
        <v>4.5999999999999996</v>
      </c>
      <c r="P27" s="4">
        <v>0.41</v>
      </c>
      <c r="Q27" s="5">
        <v>6</v>
      </c>
      <c r="R27">
        <v>-4.5999999999999996</v>
      </c>
      <c r="S27" s="4">
        <v>0.84</v>
      </c>
      <c r="T27" s="5">
        <v>-3.4</v>
      </c>
    </row>
    <row r="28" spans="2:20" x14ac:dyDescent="0.3">
      <c r="B28">
        <v>4.8</v>
      </c>
      <c r="C28">
        <v>0.93</v>
      </c>
      <c r="E28">
        <v>-4.8</v>
      </c>
      <c r="F28">
        <v>0.02</v>
      </c>
      <c r="O28">
        <v>4.8</v>
      </c>
      <c r="P28" s="4">
        <v>0.92</v>
      </c>
      <c r="Q28" s="5">
        <v>6.2</v>
      </c>
      <c r="R28">
        <v>-4.8</v>
      </c>
      <c r="S28" s="4">
        <v>0.3</v>
      </c>
      <c r="T28" s="5">
        <v>-3.6</v>
      </c>
    </row>
    <row r="29" spans="2:20" x14ac:dyDescent="0.3">
      <c r="B29">
        <v>5</v>
      </c>
      <c r="C29">
        <v>0.75</v>
      </c>
      <c r="E29">
        <v>-5</v>
      </c>
      <c r="F29">
        <v>0.01</v>
      </c>
      <c r="O29">
        <v>5</v>
      </c>
      <c r="P29" s="4">
        <v>1.1000000000000001</v>
      </c>
      <c r="Q29" s="5">
        <v>6.4</v>
      </c>
      <c r="R29">
        <v>-5</v>
      </c>
      <c r="S29" s="4">
        <v>0.22</v>
      </c>
      <c r="T29" s="5">
        <v>-3.8</v>
      </c>
    </row>
    <row r="30" spans="2:20" x14ac:dyDescent="0.3">
      <c r="B30">
        <v>5.2</v>
      </c>
      <c r="C30">
        <v>0.57999999999999996</v>
      </c>
      <c r="E30">
        <v>-5.2</v>
      </c>
      <c r="F30">
        <v>0</v>
      </c>
      <c r="O30">
        <v>5.2</v>
      </c>
      <c r="P30" s="4">
        <v>0.9</v>
      </c>
      <c r="Q30" s="5">
        <v>6.6</v>
      </c>
      <c r="R30">
        <v>-5.2</v>
      </c>
      <c r="S30" s="4">
        <v>0.32</v>
      </c>
      <c r="T30" s="5">
        <v>-4</v>
      </c>
    </row>
    <row r="31" spans="2:20" x14ac:dyDescent="0.3">
      <c r="B31">
        <v>5.4</v>
      </c>
      <c r="C31">
        <v>0.43</v>
      </c>
      <c r="E31">
        <v>-5.4</v>
      </c>
      <c r="F31">
        <v>0</v>
      </c>
      <c r="O31">
        <v>5.4</v>
      </c>
      <c r="P31" s="4">
        <v>0.44</v>
      </c>
      <c r="Q31" s="5">
        <v>6.8</v>
      </c>
      <c r="R31">
        <v>-5.4</v>
      </c>
      <c r="S31" s="4">
        <v>0.72</v>
      </c>
      <c r="T31" s="5">
        <v>-4.2</v>
      </c>
    </row>
    <row r="32" spans="2:20" x14ac:dyDescent="0.3">
      <c r="B32">
        <v>5.6</v>
      </c>
      <c r="C32">
        <v>0.3</v>
      </c>
      <c r="E32">
        <v>-5.6</v>
      </c>
      <c r="F32">
        <v>0.01</v>
      </c>
      <c r="O32">
        <v>5.6</v>
      </c>
      <c r="P32" s="4">
        <v>0.14000000000000001</v>
      </c>
      <c r="Q32" s="5">
        <v>7</v>
      </c>
      <c r="R32">
        <v>-5.6</v>
      </c>
      <c r="S32" s="4">
        <v>1.49</v>
      </c>
      <c r="T32" s="5">
        <v>-4.4000000000000004</v>
      </c>
    </row>
    <row r="33" spans="2:20" x14ac:dyDescent="0.3">
      <c r="B33">
        <v>5.8</v>
      </c>
      <c r="C33">
        <v>0.2</v>
      </c>
      <c r="E33">
        <v>-5.8</v>
      </c>
      <c r="F33">
        <v>0.02</v>
      </c>
      <c r="O33">
        <v>5.8</v>
      </c>
      <c r="P33" s="4">
        <v>0.06</v>
      </c>
      <c r="Q33" s="5">
        <v>7.2000000000000099</v>
      </c>
      <c r="R33">
        <v>-5.8</v>
      </c>
      <c r="S33" s="4">
        <v>1.93</v>
      </c>
      <c r="T33" s="5">
        <v>-4.5999999999999996</v>
      </c>
    </row>
    <row r="34" spans="2:20" x14ac:dyDescent="0.3">
      <c r="B34">
        <v>5.9999999999999902</v>
      </c>
      <c r="C34">
        <v>0.12</v>
      </c>
      <c r="E34">
        <v>-6</v>
      </c>
      <c r="F34">
        <v>0.04</v>
      </c>
      <c r="O34">
        <v>6</v>
      </c>
      <c r="P34" s="4">
        <v>0.09</v>
      </c>
      <c r="Q34" s="5">
        <v>7.4000000000000101</v>
      </c>
      <c r="R34">
        <v>-6</v>
      </c>
      <c r="S34" s="4">
        <v>1.44</v>
      </c>
      <c r="T34" s="5">
        <v>-4.8</v>
      </c>
    </row>
    <row r="35" spans="2:20" x14ac:dyDescent="0.3">
      <c r="B35">
        <v>6.1999999999999904</v>
      </c>
      <c r="C35">
        <v>0.05</v>
      </c>
      <c r="E35">
        <v>-6.2</v>
      </c>
      <c r="F35">
        <v>7.0000000000000007E-2</v>
      </c>
      <c r="O35">
        <v>6.2</v>
      </c>
      <c r="P35" s="4">
        <v>0.25</v>
      </c>
      <c r="Q35" s="5">
        <v>7.6000000000000103</v>
      </c>
      <c r="R35">
        <v>-6.2</v>
      </c>
      <c r="S35" s="4">
        <v>0.56999999999999995</v>
      </c>
      <c r="T35" s="5">
        <v>-5</v>
      </c>
    </row>
    <row r="36" spans="2:20" x14ac:dyDescent="0.3">
      <c r="B36">
        <v>6.3999999999999897</v>
      </c>
      <c r="C36">
        <v>0.04</v>
      </c>
      <c r="E36">
        <v>-6.4</v>
      </c>
      <c r="F36">
        <v>0.09</v>
      </c>
      <c r="O36">
        <v>6.4</v>
      </c>
      <c r="P36" s="4">
        <v>0.51</v>
      </c>
      <c r="Q36" s="5">
        <v>7.8000000000000096</v>
      </c>
      <c r="R36">
        <v>-6.4</v>
      </c>
      <c r="S36" s="4">
        <v>0.15</v>
      </c>
      <c r="T36" s="5">
        <v>-5.2</v>
      </c>
    </row>
    <row r="37" spans="2:20" x14ac:dyDescent="0.3">
      <c r="B37">
        <v>6.5999999999999899</v>
      </c>
      <c r="C37">
        <v>0.01</v>
      </c>
      <c r="E37">
        <v>-6.6</v>
      </c>
      <c r="F37">
        <v>0.11</v>
      </c>
      <c r="O37">
        <v>6.6</v>
      </c>
      <c r="P37" s="4">
        <v>0.67</v>
      </c>
      <c r="Q37" s="5">
        <v>8.0000000000000107</v>
      </c>
      <c r="R37">
        <v>-6.6</v>
      </c>
      <c r="S37" s="4">
        <v>0.06</v>
      </c>
      <c r="T37" s="5">
        <v>-5.4</v>
      </c>
    </row>
    <row r="38" spans="2:20" x14ac:dyDescent="0.3">
      <c r="B38">
        <v>6.7999999999999901</v>
      </c>
      <c r="C38">
        <v>0</v>
      </c>
      <c r="E38">
        <v>-6.8</v>
      </c>
      <c r="F38">
        <v>0.13</v>
      </c>
      <c r="O38">
        <v>6.8</v>
      </c>
      <c r="P38" s="4">
        <v>0.56999999999999995</v>
      </c>
      <c r="Q38" s="5">
        <v>8.2000000000000099</v>
      </c>
      <c r="R38">
        <v>-6.8</v>
      </c>
      <c r="S38" s="4">
        <v>0.11</v>
      </c>
      <c r="T38" s="5">
        <v>-5.6</v>
      </c>
    </row>
    <row r="39" spans="2:20" x14ac:dyDescent="0.3">
      <c r="B39">
        <v>6.9999999999999902</v>
      </c>
      <c r="C39">
        <v>0</v>
      </c>
      <c r="E39">
        <v>-7</v>
      </c>
      <c r="F39">
        <v>0.14000000000000001</v>
      </c>
      <c r="O39">
        <v>7</v>
      </c>
      <c r="P39" s="4">
        <v>0.32</v>
      </c>
      <c r="Q39" s="5">
        <v>8.4000000000000092</v>
      </c>
      <c r="R39">
        <v>-7</v>
      </c>
      <c r="S39" s="4">
        <v>0.35</v>
      </c>
      <c r="T39" s="5">
        <v>-5.8</v>
      </c>
    </row>
    <row r="40" spans="2:20" x14ac:dyDescent="0.3">
      <c r="B40">
        <v>7.1999999999999904</v>
      </c>
      <c r="C40">
        <v>0.01</v>
      </c>
      <c r="E40">
        <v>-7.2</v>
      </c>
      <c r="F40">
        <v>0.15</v>
      </c>
      <c r="O40">
        <v>7.2</v>
      </c>
      <c r="P40" s="4">
        <v>0.13</v>
      </c>
      <c r="Q40" s="5">
        <v>8.6000000000000103</v>
      </c>
      <c r="R40">
        <v>-7.2</v>
      </c>
      <c r="S40" s="4">
        <v>0.72</v>
      </c>
      <c r="T40" s="5">
        <v>-6</v>
      </c>
    </row>
    <row r="41" spans="2:20" x14ac:dyDescent="0.3">
      <c r="B41">
        <v>7.3999999999999897</v>
      </c>
      <c r="C41">
        <v>0.02</v>
      </c>
      <c r="E41">
        <v>-7.4</v>
      </c>
      <c r="F41">
        <v>0.17</v>
      </c>
      <c r="O41">
        <v>7.4</v>
      </c>
      <c r="P41" s="4">
        <v>0.05</v>
      </c>
      <c r="Q41" s="5">
        <v>8.8000000000000096</v>
      </c>
      <c r="R41">
        <v>-7.4</v>
      </c>
      <c r="S41" s="4">
        <v>1.0900000000000001</v>
      </c>
      <c r="T41" s="5">
        <v>-6.2</v>
      </c>
    </row>
    <row r="42" spans="2:20" x14ac:dyDescent="0.3">
      <c r="B42">
        <v>7.5999999999999899</v>
      </c>
      <c r="C42">
        <v>0.03</v>
      </c>
      <c r="E42">
        <v>-7.6</v>
      </c>
      <c r="F42">
        <v>0.2</v>
      </c>
      <c r="O42">
        <v>7.6</v>
      </c>
      <c r="P42" s="4">
        <v>0.05</v>
      </c>
      <c r="Q42" s="5">
        <v>9.0000000000000107</v>
      </c>
      <c r="R42">
        <v>-7.6</v>
      </c>
      <c r="S42" s="4">
        <v>1.02</v>
      </c>
      <c r="T42" s="5">
        <v>-6.4</v>
      </c>
    </row>
    <row r="43" spans="2:20" x14ac:dyDescent="0.3">
      <c r="B43">
        <v>7.7999999999999901</v>
      </c>
      <c r="C43">
        <v>0.05</v>
      </c>
      <c r="E43">
        <v>-7.8</v>
      </c>
      <c r="F43">
        <v>0.21</v>
      </c>
      <c r="O43">
        <v>7.8</v>
      </c>
      <c r="P43" s="4">
        <v>0.12</v>
      </c>
      <c r="Q43" s="5">
        <v>9.2000000000000099</v>
      </c>
      <c r="R43">
        <v>-7.8</v>
      </c>
      <c r="S43" s="4">
        <v>0.6</v>
      </c>
      <c r="T43" s="5">
        <v>-6.6</v>
      </c>
    </row>
    <row r="44" spans="2:20" x14ac:dyDescent="0.3">
      <c r="B44">
        <v>7.9999999999999902</v>
      </c>
      <c r="C44">
        <v>7.0000000000000007E-2</v>
      </c>
      <c r="E44">
        <v>-8</v>
      </c>
      <c r="F44">
        <v>0.22</v>
      </c>
      <c r="O44">
        <v>8</v>
      </c>
      <c r="P44" s="4">
        <v>0.35</v>
      </c>
      <c r="Q44" s="5">
        <v>9.4000000000000092</v>
      </c>
      <c r="R44">
        <v>-8</v>
      </c>
      <c r="S44" s="4">
        <v>0.2</v>
      </c>
      <c r="T44" s="5">
        <v>-6.8</v>
      </c>
    </row>
    <row r="45" spans="2:20" x14ac:dyDescent="0.3">
      <c r="B45">
        <v>8.1999999999999993</v>
      </c>
      <c r="C45">
        <v>0.1</v>
      </c>
      <c r="E45">
        <v>-8.1999999999999993</v>
      </c>
      <c r="F45">
        <v>0.22</v>
      </c>
      <c r="O45">
        <v>8.1999999999999993</v>
      </c>
      <c r="P45" s="4">
        <v>0.56999999999999995</v>
      </c>
      <c r="Q45" s="5">
        <v>9.6000000000000103</v>
      </c>
      <c r="R45">
        <v>-8.1999999999999993</v>
      </c>
      <c r="S45" s="4">
        <v>0.05</v>
      </c>
      <c r="T45" s="5">
        <v>-7</v>
      </c>
    </row>
    <row r="46" spans="2:20" x14ac:dyDescent="0.3">
      <c r="B46">
        <v>8.4</v>
      </c>
      <c r="C46">
        <v>0.11</v>
      </c>
      <c r="E46">
        <v>-8.4</v>
      </c>
      <c r="F46">
        <v>0.21</v>
      </c>
      <c r="O46">
        <v>8.4</v>
      </c>
      <c r="P46" s="4">
        <v>0.59</v>
      </c>
      <c r="Q46" s="5">
        <v>9.8000000000000096</v>
      </c>
      <c r="R46">
        <v>-8.4</v>
      </c>
      <c r="S46" s="4">
        <v>0.06</v>
      </c>
      <c r="T46" s="5">
        <v>-7.2</v>
      </c>
    </row>
    <row r="47" spans="2:20" x14ac:dyDescent="0.3">
      <c r="B47">
        <v>8.6000000000000103</v>
      </c>
      <c r="C47">
        <v>0.12</v>
      </c>
      <c r="E47">
        <v>-8.6</v>
      </c>
      <c r="F47">
        <v>0.19</v>
      </c>
      <c r="O47">
        <v>8.6</v>
      </c>
      <c r="P47" s="4">
        <v>0.39</v>
      </c>
      <c r="Q47" s="5">
        <v>10</v>
      </c>
      <c r="R47">
        <v>-8.6</v>
      </c>
      <c r="S47" s="4">
        <v>0.23</v>
      </c>
      <c r="T47" s="5">
        <v>-7.4</v>
      </c>
    </row>
    <row r="48" spans="2:20" x14ac:dyDescent="0.3">
      <c r="B48">
        <v>8.8000000000000096</v>
      </c>
      <c r="C48">
        <v>0.15</v>
      </c>
      <c r="E48">
        <v>-8.8000000000000007</v>
      </c>
      <c r="F48">
        <v>0.16</v>
      </c>
      <c r="O48">
        <v>8.8000000000000007</v>
      </c>
      <c r="P48" s="4">
        <v>0.17</v>
      </c>
      <c r="Q48" s="5">
        <v>10.199999999999999</v>
      </c>
      <c r="R48">
        <v>-8.8000000000000007</v>
      </c>
      <c r="S48" s="4">
        <v>0.51</v>
      </c>
      <c r="T48" s="5">
        <v>-7.6</v>
      </c>
    </row>
    <row r="49" spans="2:20" x14ac:dyDescent="0.3">
      <c r="B49">
        <v>9.0000000000000107</v>
      </c>
      <c r="C49">
        <v>0.18</v>
      </c>
      <c r="E49">
        <v>-9</v>
      </c>
      <c r="F49">
        <v>0.13</v>
      </c>
      <c r="O49">
        <v>9</v>
      </c>
      <c r="P49" s="4">
        <v>0.05</v>
      </c>
      <c r="Q49" s="5">
        <v>10.4</v>
      </c>
      <c r="R49">
        <v>-9</v>
      </c>
      <c r="S49" s="4">
        <v>0.81</v>
      </c>
      <c r="T49" s="5">
        <v>-7.8</v>
      </c>
    </row>
    <row r="50" spans="2:20" x14ac:dyDescent="0.3">
      <c r="B50">
        <v>9.2000000000000099</v>
      </c>
      <c r="C50">
        <v>0.2</v>
      </c>
      <c r="E50">
        <v>-9.1999999999999993</v>
      </c>
      <c r="F50">
        <v>0.1</v>
      </c>
      <c r="O50">
        <v>9.1999999999999993</v>
      </c>
      <c r="P50" s="4">
        <v>0.03</v>
      </c>
      <c r="Q50" s="5">
        <v>10.6</v>
      </c>
      <c r="R50">
        <v>-9.1999999999999993</v>
      </c>
      <c r="S50" s="4">
        <v>0.82</v>
      </c>
      <c r="T50" s="5">
        <v>-8</v>
      </c>
    </row>
    <row r="51" spans="2:20" x14ac:dyDescent="0.3">
      <c r="B51">
        <v>9.4000000000000092</v>
      </c>
      <c r="C51">
        <v>0.2</v>
      </c>
      <c r="E51">
        <v>-9.4</v>
      </c>
      <c r="F51">
        <v>7.0000000000000007E-2</v>
      </c>
      <c r="O51">
        <v>9.4</v>
      </c>
      <c r="P51" s="4">
        <v>0.08</v>
      </c>
      <c r="Q51" s="5">
        <v>10.8</v>
      </c>
      <c r="R51">
        <v>-9.4</v>
      </c>
      <c r="S51" s="4">
        <v>0.54</v>
      </c>
      <c r="T51" s="5">
        <v>-8.1999999999999993</v>
      </c>
    </row>
    <row r="52" spans="2:20" x14ac:dyDescent="0.3">
      <c r="B52">
        <v>9.6000000000000103</v>
      </c>
      <c r="C52">
        <v>0.19</v>
      </c>
      <c r="E52">
        <v>-9.6</v>
      </c>
      <c r="F52">
        <v>0.05</v>
      </c>
      <c r="O52">
        <v>9.6</v>
      </c>
      <c r="P52" s="4">
        <v>0.18</v>
      </c>
      <c r="Q52" s="5">
        <v>11</v>
      </c>
      <c r="R52">
        <v>-9.6</v>
      </c>
      <c r="S52" s="4">
        <v>0.22</v>
      </c>
      <c r="T52" s="5">
        <v>-8.4</v>
      </c>
    </row>
    <row r="53" spans="2:20" x14ac:dyDescent="0.3">
      <c r="B53">
        <v>9.8000000000000096</v>
      </c>
      <c r="C53">
        <v>0.19</v>
      </c>
      <c r="E53">
        <v>-9.8000000000000007</v>
      </c>
      <c r="F53">
        <v>0.04</v>
      </c>
      <c r="O53">
        <v>9.8000000000000007</v>
      </c>
      <c r="P53" s="4">
        <v>0.33</v>
      </c>
      <c r="Q53" s="5">
        <v>11.2</v>
      </c>
      <c r="R53">
        <v>-9.8000000000000007</v>
      </c>
      <c r="S53" s="4">
        <v>0.08</v>
      </c>
      <c r="T53" s="5">
        <v>-8.6</v>
      </c>
    </row>
    <row r="54" spans="2:20" x14ac:dyDescent="0.3">
      <c r="B54">
        <v>10</v>
      </c>
      <c r="C54">
        <v>0.2</v>
      </c>
      <c r="E54">
        <v>-10</v>
      </c>
      <c r="F54">
        <v>0.03</v>
      </c>
      <c r="O54">
        <v>10</v>
      </c>
      <c r="P54" s="6">
        <v>0.37</v>
      </c>
      <c r="Q54" s="7">
        <v>11.4</v>
      </c>
      <c r="R54">
        <v>-10</v>
      </c>
      <c r="S54" s="6">
        <v>0.04</v>
      </c>
      <c r="T54" s="7">
        <v>-8.8000000000000007</v>
      </c>
    </row>
    <row r="55" spans="2:20" x14ac:dyDescent="0.3">
      <c r="B55">
        <v>10.199999999999999</v>
      </c>
      <c r="C55">
        <v>0.2</v>
      </c>
      <c r="E55">
        <v>-10.199999999999999</v>
      </c>
      <c r="F55">
        <v>0.01</v>
      </c>
    </row>
    <row r="56" spans="2:20" x14ac:dyDescent="0.3">
      <c r="B56">
        <v>10.4</v>
      </c>
      <c r="C56">
        <v>0.16</v>
      </c>
      <c r="E56">
        <v>-10.4</v>
      </c>
      <c r="F56">
        <v>0.01</v>
      </c>
    </row>
    <row r="57" spans="2:20" x14ac:dyDescent="0.3">
      <c r="B57">
        <v>10.6</v>
      </c>
      <c r="C57">
        <v>0.13</v>
      </c>
      <c r="E57">
        <v>-10.6</v>
      </c>
      <c r="F57">
        <v>0.01</v>
      </c>
    </row>
    <row r="58" spans="2:20" x14ac:dyDescent="0.3">
      <c r="B58">
        <v>10.8</v>
      </c>
      <c r="C58">
        <v>0.11</v>
      </c>
      <c r="E58">
        <v>-10.8</v>
      </c>
      <c r="F58">
        <v>0</v>
      </c>
    </row>
    <row r="59" spans="2:20" x14ac:dyDescent="0.3">
      <c r="B59">
        <v>11</v>
      </c>
      <c r="C59">
        <v>0.09</v>
      </c>
      <c r="E59">
        <v>-11</v>
      </c>
      <c r="F59">
        <v>0</v>
      </c>
    </row>
    <row r="60" spans="2:20" x14ac:dyDescent="0.3">
      <c r="B60">
        <v>11.2</v>
      </c>
      <c r="C60">
        <v>7.0000000000000007E-2</v>
      </c>
      <c r="E60">
        <v>-11.2</v>
      </c>
      <c r="F60">
        <v>0</v>
      </c>
    </row>
    <row r="61" spans="2:20" x14ac:dyDescent="0.3">
      <c r="B61">
        <v>11.4</v>
      </c>
      <c r="C61">
        <v>0.04</v>
      </c>
      <c r="E61">
        <v>-11.4</v>
      </c>
      <c r="F61">
        <v>0</v>
      </c>
    </row>
    <row r="62" spans="2:20" x14ac:dyDescent="0.3">
      <c r="B62">
        <v>11.6</v>
      </c>
      <c r="C62">
        <v>0.03</v>
      </c>
      <c r="E62">
        <v>-11.6</v>
      </c>
      <c r="F62">
        <v>0</v>
      </c>
    </row>
    <row r="63" spans="2:20" x14ac:dyDescent="0.3">
      <c r="B63">
        <v>11.8</v>
      </c>
      <c r="C63">
        <v>0.02</v>
      </c>
      <c r="E63">
        <v>-11.8</v>
      </c>
      <c r="F63">
        <v>0.01</v>
      </c>
    </row>
    <row r="64" spans="2:20" x14ac:dyDescent="0.3">
      <c r="B64">
        <v>12</v>
      </c>
      <c r="C64">
        <v>0.01</v>
      </c>
      <c r="E64">
        <v>-12</v>
      </c>
      <c r="F64">
        <v>0</v>
      </c>
    </row>
    <row r="65" spans="2:6" x14ac:dyDescent="0.3">
      <c r="B65">
        <v>12.2</v>
      </c>
      <c r="C65">
        <v>0.01</v>
      </c>
      <c r="E65">
        <v>-12.2</v>
      </c>
      <c r="F65">
        <v>0.01</v>
      </c>
    </row>
    <row r="66" spans="2:6" x14ac:dyDescent="0.3">
      <c r="B66">
        <v>12.4</v>
      </c>
      <c r="C66">
        <v>0</v>
      </c>
      <c r="E66">
        <v>-12.4</v>
      </c>
      <c r="F66">
        <v>0.02</v>
      </c>
    </row>
    <row r="67" spans="2:6" x14ac:dyDescent="0.3">
      <c r="B67">
        <v>12.6</v>
      </c>
      <c r="C67">
        <v>0</v>
      </c>
      <c r="E67">
        <v>-12.6</v>
      </c>
      <c r="F67">
        <v>0.03</v>
      </c>
    </row>
    <row r="68" spans="2:6" x14ac:dyDescent="0.3">
      <c r="B68">
        <v>12.8</v>
      </c>
      <c r="C68">
        <v>0</v>
      </c>
      <c r="E68">
        <v>-12.8</v>
      </c>
      <c r="F68">
        <v>0.04</v>
      </c>
    </row>
    <row r="69" spans="2:6" x14ac:dyDescent="0.3">
      <c r="B69">
        <v>13</v>
      </c>
      <c r="C69">
        <v>0</v>
      </c>
      <c r="E69">
        <v>-13</v>
      </c>
      <c r="F69">
        <v>0.04</v>
      </c>
    </row>
    <row r="70" spans="2:6" x14ac:dyDescent="0.3">
      <c r="B70">
        <v>13.2</v>
      </c>
      <c r="C70">
        <v>0</v>
      </c>
      <c r="E70">
        <v>-13.2</v>
      </c>
      <c r="F70">
        <v>0.05</v>
      </c>
    </row>
    <row r="71" spans="2:6" x14ac:dyDescent="0.3">
      <c r="B71">
        <v>13.4</v>
      </c>
      <c r="C71">
        <v>0</v>
      </c>
      <c r="E71">
        <v>-13.4</v>
      </c>
      <c r="F71">
        <v>0.06</v>
      </c>
    </row>
    <row r="72" spans="2:6" x14ac:dyDescent="0.3">
      <c r="B72">
        <v>13.6</v>
      </c>
      <c r="C72">
        <v>0.01</v>
      </c>
      <c r="E72">
        <v>-13.6</v>
      </c>
      <c r="F72">
        <v>0.05</v>
      </c>
    </row>
    <row r="73" spans="2:6" x14ac:dyDescent="0.3">
      <c r="B73">
        <v>13.8</v>
      </c>
      <c r="C73">
        <v>0.01</v>
      </c>
      <c r="E73">
        <v>-13.8</v>
      </c>
      <c r="F73">
        <v>0.05</v>
      </c>
    </row>
    <row r="74" spans="2:6" x14ac:dyDescent="0.3">
      <c r="B74">
        <v>14</v>
      </c>
      <c r="C74">
        <v>0.02</v>
      </c>
      <c r="E74">
        <v>-14</v>
      </c>
      <c r="F74">
        <v>0.05</v>
      </c>
    </row>
    <row r="75" spans="2:6" x14ac:dyDescent="0.3">
      <c r="B75">
        <v>14.2</v>
      </c>
      <c r="C75">
        <v>0.03</v>
      </c>
      <c r="E75">
        <v>-14.2</v>
      </c>
      <c r="F75">
        <v>0.04</v>
      </c>
    </row>
    <row r="76" spans="2:6" x14ac:dyDescent="0.3">
      <c r="B76">
        <v>14.4</v>
      </c>
      <c r="C76">
        <v>0.04</v>
      </c>
      <c r="E76">
        <v>-14.4</v>
      </c>
      <c r="F76">
        <v>0.04</v>
      </c>
    </row>
    <row r="77" spans="2:6" x14ac:dyDescent="0.3">
      <c r="B77">
        <v>14.6</v>
      </c>
      <c r="C77">
        <v>0.04</v>
      </c>
      <c r="E77">
        <v>-14.6</v>
      </c>
      <c r="F77">
        <v>0.04</v>
      </c>
    </row>
    <row r="78" spans="2:6" x14ac:dyDescent="0.3">
      <c r="B78">
        <v>14.8</v>
      </c>
      <c r="C78">
        <v>0.05</v>
      </c>
      <c r="E78">
        <v>-14.8</v>
      </c>
      <c r="F78">
        <v>0.04</v>
      </c>
    </row>
    <row r="79" spans="2:6" x14ac:dyDescent="0.3">
      <c r="B79">
        <v>15</v>
      </c>
      <c r="C79">
        <v>0.06</v>
      </c>
      <c r="E79">
        <v>-15</v>
      </c>
      <c r="F79">
        <v>0.04</v>
      </c>
    </row>
    <row r="80" spans="2:6" x14ac:dyDescent="0.3">
      <c r="B80">
        <v>15.2</v>
      </c>
      <c r="C80">
        <v>0.06</v>
      </c>
      <c r="E80">
        <v>-15.2</v>
      </c>
      <c r="F80">
        <v>0.04</v>
      </c>
    </row>
    <row r="81" spans="2:6" x14ac:dyDescent="0.3">
      <c r="B81">
        <v>15.4</v>
      </c>
      <c r="C81">
        <v>0.06</v>
      </c>
      <c r="E81">
        <v>-15.4</v>
      </c>
      <c r="F81">
        <v>0.03</v>
      </c>
    </row>
    <row r="82" spans="2:6" x14ac:dyDescent="0.3">
      <c r="B82">
        <v>15.6</v>
      </c>
      <c r="C82">
        <v>0.06</v>
      </c>
      <c r="E82">
        <v>-15.6</v>
      </c>
      <c r="F82">
        <v>0.02</v>
      </c>
    </row>
    <row r="83" spans="2:6" x14ac:dyDescent="0.3">
      <c r="B83">
        <v>15.8</v>
      </c>
      <c r="C83">
        <v>0.05</v>
      </c>
      <c r="E83">
        <v>-15.8</v>
      </c>
      <c r="F83">
        <v>0.01</v>
      </c>
    </row>
    <row r="84" spans="2:6" x14ac:dyDescent="0.3">
      <c r="B84">
        <v>16</v>
      </c>
      <c r="C84">
        <v>0.05</v>
      </c>
      <c r="E84">
        <v>-16</v>
      </c>
      <c r="F84">
        <v>0.01</v>
      </c>
    </row>
    <row r="85" spans="2:6" x14ac:dyDescent="0.3">
      <c r="B85">
        <v>16.2</v>
      </c>
      <c r="C85">
        <v>0.05</v>
      </c>
      <c r="E85">
        <v>-16.2</v>
      </c>
      <c r="F85">
        <v>0.01</v>
      </c>
    </row>
    <row r="86" spans="2:6" x14ac:dyDescent="0.3">
      <c r="B86">
        <v>16.399999999999999</v>
      </c>
      <c r="C86">
        <v>0.04</v>
      </c>
      <c r="E86">
        <v>-16.399999999999999</v>
      </c>
      <c r="F86">
        <v>0</v>
      </c>
    </row>
    <row r="87" spans="2:6" x14ac:dyDescent="0.3">
      <c r="B87">
        <v>16.600000000000001</v>
      </c>
      <c r="C87">
        <v>0.03</v>
      </c>
      <c r="E87">
        <v>-16.600000000000001</v>
      </c>
      <c r="F87">
        <v>0</v>
      </c>
    </row>
    <row r="88" spans="2:6" x14ac:dyDescent="0.3">
      <c r="B88">
        <v>16.8</v>
      </c>
      <c r="C88">
        <v>0.02</v>
      </c>
      <c r="E88">
        <v>-16.8</v>
      </c>
      <c r="F88">
        <v>0</v>
      </c>
    </row>
    <row r="89" spans="2:6" x14ac:dyDescent="0.3">
      <c r="B89">
        <v>17</v>
      </c>
      <c r="C89">
        <v>0.02</v>
      </c>
      <c r="E89">
        <v>-17</v>
      </c>
      <c r="F89">
        <v>0</v>
      </c>
    </row>
    <row r="90" spans="2:6" x14ac:dyDescent="0.3">
      <c r="B90">
        <v>17.2</v>
      </c>
      <c r="C90">
        <v>0.02</v>
      </c>
    </row>
    <row r="91" spans="2:6" x14ac:dyDescent="0.3">
      <c r="B91">
        <v>17.399999999999999</v>
      </c>
      <c r="C91">
        <v>0.01</v>
      </c>
    </row>
    <row r="92" spans="2:6" x14ac:dyDescent="0.3">
      <c r="B92">
        <v>17.600000000000001</v>
      </c>
      <c r="C92">
        <v>0.01</v>
      </c>
    </row>
    <row r="93" spans="2:6" x14ac:dyDescent="0.3">
      <c r="B93">
        <v>17.8</v>
      </c>
      <c r="C93">
        <v>0</v>
      </c>
    </row>
    <row r="94" spans="2:6" x14ac:dyDescent="0.3">
      <c r="B94">
        <v>18</v>
      </c>
      <c r="C94">
        <v>0</v>
      </c>
    </row>
    <row r="95" spans="2:6" x14ac:dyDescent="0.3">
      <c r="B95">
        <v>18.2</v>
      </c>
      <c r="C95">
        <v>0</v>
      </c>
    </row>
    <row r="96" spans="2:6" x14ac:dyDescent="0.3">
      <c r="B96">
        <v>18.399999999999999</v>
      </c>
      <c r="C96">
        <v>0</v>
      </c>
    </row>
    <row r="97" spans="2:26" x14ac:dyDescent="0.3">
      <c r="B97">
        <v>18.600000000000001</v>
      </c>
      <c r="C97">
        <v>0</v>
      </c>
    </row>
    <row r="99" spans="2:26" x14ac:dyDescent="0.3">
      <c r="U99" t="s">
        <v>33</v>
      </c>
    </row>
    <row r="100" spans="2:26" x14ac:dyDescent="0.3">
      <c r="U100" s="2" t="s">
        <v>4</v>
      </c>
      <c r="V100" s="2" t="s">
        <v>6</v>
      </c>
      <c r="W100" s="2" t="s">
        <v>5</v>
      </c>
      <c r="X100" s="2" t="s">
        <v>7</v>
      </c>
      <c r="Y100" s="2" t="s">
        <v>8</v>
      </c>
    </row>
    <row r="101" spans="2:26" x14ac:dyDescent="0.3">
      <c r="U101" s="2" t="s">
        <v>11</v>
      </c>
      <c r="V101" s="2">
        <v>6.8</v>
      </c>
      <c r="W101" s="2">
        <v>7</v>
      </c>
      <c r="X101" s="2">
        <f>(W101+V101)/2</f>
        <v>6.9</v>
      </c>
      <c r="Y101" s="2">
        <f>($I$2*10^(-6)*$E$2*10^(-2))/(X101*10^(-3))*10^(3)</f>
        <v>6.3913043478260864E-2</v>
      </c>
    </row>
    <row r="102" spans="2:26" x14ac:dyDescent="0.3">
      <c r="U102" s="2" t="s">
        <v>12</v>
      </c>
      <c r="V102" s="2">
        <v>9.1999999999999993</v>
      </c>
      <c r="W102" s="2">
        <v>10.199999999999999</v>
      </c>
      <c r="X102" s="2">
        <f>(W102+V102)/2</f>
        <v>9.6999999999999993</v>
      </c>
      <c r="Y102" s="2">
        <f>(1+1/2)*($I$2*10^(-6)*$E$2*10^(-2))/(X102*10^(-3))*10^(3)</f>
        <v>6.8195876288659793E-2</v>
      </c>
    </row>
    <row r="103" spans="2:26" x14ac:dyDescent="0.3">
      <c r="U103" s="2" t="s">
        <v>13</v>
      </c>
      <c r="V103" s="2">
        <v>12.4</v>
      </c>
      <c r="W103" s="2">
        <v>13.4</v>
      </c>
      <c r="X103" s="2">
        <f>(W103+V103)/2</f>
        <v>12.9</v>
      </c>
      <c r="Y103" s="2">
        <f>2*($I$2*10^(-6)*$E$2*10^(-2))/(X103*10^(-3))*10^(3)</f>
        <v>6.8372093023255823E-2</v>
      </c>
    </row>
    <row r="104" spans="2:26" x14ac:dyDescent="0.3">
      <c r="U104" s="2" t="s">
        <v>14</v>
      </c>
      <c r="V104" s="2">
        <v>15</v>
      </c>
      <c r="W104" s="2">
        <v>15.6</v>
      </c>
      <c r="X104" s="2">
        <f>(W104+V104)/2</f>
        <v>15.3</v>
      </c>
      <c r="Y104" s="2">
        <f>(2+1/2)*($I$2*10^(-6)*$E$2*10^(-2))/(X104*10^(-3))*10^(3)</f>
        <v>7.2058823529411759E-2</v>
      </c>
    </row>
    <row r="105" spans="2:26" x14ac:dyDescent="0.3">
      <c r="U105" s="2" t="s">
        <v>15</v>
      </c>
      <c r="V105" s="2">
        <v>5.2</v>
      </c>
      <c r="W105" s="2">
        <v>5.4</v>
      </c>
      <c r="X105" s="2">
        <f>(W105+V105)/2</f>
        <v>5.3000000000000007</v>
      </c>
      <c r="Y105" s="2">
        <f>($I$2*10^(-6)*$E$2*10^(-2))/(X105*10^(-3))*10^(3)</f>
        <v>8.3207547169811311E-2</v>
      </c>
    </row>
    <row r="106" spans="2:26" x14ac:dyDescent="0.3">
      <c r="U106" s="2" t="s">
        <v>16</v>
      </c>
      <c r="V106" s="2">
        <v>8</v>
      </c>
      <c r="W106" s="2">
        <v>8.1999999999999993</v>
      </c>
      <c r="X106" s="2">
        <f>(W106+V106)/2</f>
        <v>8.1</v>
      </c>
      <c r="Y106" s="2">
        <f>(1+1/2)*($I$2*10^(-6)*$E$2*10^(-2))/(X106*10^(-3))*10^(3)</f>
        <v>8.1666666666666679E-2</v>
      </c>
    </row>
    <row r="107" spans="2:26" x14ac:dyDescent="0.3">
      <c r="U107" s="2" t="s">
        <v>17</v>
      </c>
      <c r="V107" s="2">
        <v>10.8</v>
      </c>
      <c r="W107" s="2">
        <v>12</v>
      </c>
      <c r="X107" s="2">
        <f>(W107+V107)/2</f>
        <v>11.4</v>
      </c>
      <c r="Y107" s="2">
        <f>2*($I$2*10^(-6)*$E$2*10^(-2))/(X107*10^(-3))*10^(3)</f>
        <v>7.7368421052631586E-2</v>
      </c>
    </row>
    <row r="108" spans="2:26" x14ac:dyDescent="0.3">
      <c r="U108" s="2" t="s">
        <v>18</v>
      </c>
      <c r="V108" s="2">
        <v>13.2</v>
      </c>
      <c r="W108" s="2">
        <v>14</v>
      </c>
      <c r="X108" s="2">
        <f>(W108+V108)/2</f>
        <v>13.6</v>
      </c>
      <c r="Y108" s="2">
        <f>(2+1/2)*($I$2*10^(-6)*$E$2*10^(-2))/(X108*10^(-3))*10^(3)</f>
        <v>8.1066176470588239E-2</v>
      </c>
    </row>
    <row r="109" spans="2:26" x14ac:dyDescent="0.3">
      <c r="X109" t="s">
        <v>36</v>
      </c>
      <c r="Y109">
        <f>(Y101+Y102+Y103+Y104+Y105+Y106+Y107+Y108)/8</f>
        <v>7.4481080959910753E-2</v>
      </c>
      <c r="Z109" t="s">
        <v>37</v>
      </c>
    </row>
    <row r="110" spans="2:26" x14ac:dyDescent="0.3">
      <c r="U110" s="1" t="s">
        <v>23</v>
      </c>
      <c r="W110" s="1">
        <v>8.8000000000000007</v>
      </c>
      <c r="X110" t="s">
        <v>24</v>
      </c>
    </row>
    <row r="111" spans="2:26" x14ac:dyDescent="0.3">
      <c r="U111" s="2" t="s">
        <v>4</v>
      </c>
      <c r="V111" s="2" t="s">
        <v>19</v>
      </c>
      <c r="W111" s="2" t="s">
        <v>20</v>
      </c>
      <c r="X111" s="2" t="s">
        <v>21</v>
      </c>
      <c r="Y111" s="2" t="s">
        <v>22</v>
      </c>
    </row>
    <row r="112" spans="2:26" x14ac:dyDescent="0.3">
      <c r="U112" s="2" t="s">
        <v>12</v>
      </c>
      <c r="V112" s="2">
        <v>0.2</v>
      </c>
      <c r="W112" s="2">
        <v>0.2</v>
      </c>
      <c r="X112" s="2">
        <f>(V112+W112)/(2*$W$110)</f>
        <v>2.2727272727272728E-2</v>
      </c>
      <c r="Y112" s="2">
        <f>W112/$W$110</f>
        <v>2.2727272727272728E-2</v>
      </c>
    </row>
    <row r="113" spans="21:25" x14ac:dyDescent="0.3">
      <c r="U113" s="2" t="s">
        <v>14</v>
      </c>
      <c r="V113" s="2">
        <v>0.06</v>
      </c>
      <c r="W113" s="2">
        <v>0.06</v>
      </c>
      <c r="X113" s="2">
        <f>(V113+W113)/(2*$W$110)</f>
        <v>6.818181818181817E-3</v>
      </c>
      <c r="Y113" s="2">
        <f>W113/$W$110</f>
        <v>6.818181818181817E-3</v>
      </c>
    </row>
    <row r="114" spans="21:25" x14ac:dyDescent="0.3">
      <c r="U114" s="2" t="s">
        <v>16</v>
      </c>
      <c r="V114" s="2">
        <v>0.22</v>
      </c>
      <c r="W114" s="2">
        <v>0.22</v>
      </c>
      <c r="X114" s="2">
        <f>(V114+W114)/(2*$W$110)</f>
        <v>2.4999999999999998E-2</v>
      </c>
      <c r="Y114" s="2">
        <f>W114/$W$110</f>
        <v>2.4999999999999998E-2</v>
      </c>
    </row>
    <row r="115" spans="21:25" x14ac:dyDescent="0.3">
      <c r="U115" s="2" t="s">
        <v>18</v>
      </c>
      <c r="V115" s="2">
        <v>0.05</v>
      </c>
      <c r="W115" s="2">
        <v>0.05</v>
      </c>
      <c r="X115" s="2">
        <f>(V115+W115)/(2*$W$110)</f>
        <v>5.681818181818182E-3</v>
      </c>
      <c r="Y115" s="2">
        <f>W113/$W$110</f>
        <v>6.818181818181817E-3</v>
      </c>
    </row>
    <row r="117" spans="21:25" x14ac:dyDescent="0.3">
      <c r="U117" t="s">
        <v>32</v>
      </c>
    </row>
    <row r="118" spans="21:25" x14ac:dyDescent="0.3">
      <c r="U118" s="2" t="s">
        <v>25</v>
      </c>
      <c r="V118" s="2" t="s">
        <v>6</v>
      </c>
      <c r="W118" s="2" t="s">
        <v>5</v>
      </c>
      <c r="X118" s="2" t="s">
        <v>31</v>
      </c>
      <c r="Y118" s="2" t="s">
        <v>26</v>
      </c>
    </row>
    <row r="119" spans="21:25" x14ac:dyDescent="0.3">
      <c r="U119" s="2" t="s">
        <v>27</v>
      </c>
      <c r="V119" s="2">
        <v>3</v>
      </c>
      <c r="W119" s="2">
        <v>3.2</v>
      </c>
      <c r="X119" s="2">
        <f>(V119+W119)/2</f>
        <v>3.1</v>
      </c>
      <c r="Y119" s="2">
        <f>(1+1/2)*($I$2*10^(-6)*$E$2*10^(-2))/(X119*10^(-3))*10^(3)</f>
        <v>0.21338709677419351</v>
      </c>
    </row>
    <row r="120" spans="21:25" x14ac:dyDescent="0.3">
      <c r="U120" s="2" t="s">
        <v>28</v>
      </c>
      <c r="V120" s="2">
        <v>4.5999999999999996</v>
      </c>
      <c r="W120" s="2">
        <v>4.8</v>
      </c>
      <c r="X120" s="2">
        <f t="shared" ref="X120:X122" si="0">(V120+W120)/2</f>
        <v>4.6999999999999993</v>
      </c>
      <c r="Y120" s="2">
        <f>(2+1/2)*($I$2*10^(-6)*$E$2*10^(-2))/(X120*10^(-3))*10^(3)</f>
        <v>0.23457446808510643</v>
      </c>
    </row>
    <row r="121" spans="21:25" x14ac:dyDescent="0.3">
      <c r="U121" s="2" t="s">
        <v>29</v>
      </c>
      <c r="V121" s="2">
        <v>2.8</v>
      </c>
      <c r="W121" s="2">
        <v>3</v>
      </c>
      <c r="X121" s="2">
        <f t="shared" si="0"/>
        <v>2.9</v>
      </c>
      <c r="Y121" s="2">
        <f t="shared" ref="Y120:Y122" si="1">(1+1/2)*($I$2*10^(-6)*$E$2*10^(-2))/(X121*10^(-3))*10^(3)</f>
        <v>0.2281034482758621</v>
      </c>
    </row>
    <row r="122" spans="21:25" x14ac:dyDescent="0.3">
      <c r="U122" s="2" t="s">
        <v>30</v>
      </c>
      <c r="V122" s="2">
        <v>4.4000000000000004</v>
      </c>
      <c r="W122" s="2">
        <v>4.8</v>
      </c>
      <c r="X122" s="2">
        <f t="shared" si="0"/>
        <v>4.5999999999999996</v>
      </c>
      <c r="Y122" s="2">
        <f>(2+1/2)*($I$2*10^(-6)*$E$2*10^(-2))/(X122*10^(-3))*10^(3)</f>
        <v>0.23967391304347826</v>
      </c>
    </row>
    <row r="124" spans="21:25" x14ac:dyDescent="0.3">
      <c r="U124" t="s">
        <v>35</v>
      </c>
      <c r="V124">
        <f>P10/S10</f>
        <v>3.9960369881109643E-3</v>
      </c>
      <c r="Y124" t="s">
        <v>38</v>
      </c>
    </row>
    <row r="125" spans="21:25" x14ac:dyDescent="0.3">
      <c r="Y125">
        <f>(Y119+Y120+Y121+Y122)/4</f>
        <v>0.22893473154466007</v>
      </c>
    </row>
    <row r="127" spans="21:25" x14ac:dyDescent="0.3">
      <c r="Y127" t="s">
        <v>39</v>
      </c>
    </row>
    <row r="128" spans="21:25" x14ac:dyDescent="0.3">
      <c r="Y128">
        <f>Y125*SQRT((0.07/0.63)^2+(0.001/0.7)^2+(0.0001/0.0029)^2)</f>
        <v>2.66360227511062E-2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2025-04-25T13:01:17Z</dcterms:created>
  <dcterms:modified xsi:type="dcterms:W3CDTF">2025-04-30T09:50:22Z</dcterms:modified>
</cp:coreProperties>
</file>