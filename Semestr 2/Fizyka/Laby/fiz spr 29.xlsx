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2\Fizyka\"/>
    </mc:Choice>
  </mc:AlternateContent>
  <xr:revisionPtr revIDLastSave="0" documentId="13_ncr:1_{CB460FD5-BF74-4191-8DF6-A5413F82AF42}" xr6:coauthVersionLast="47" xr6:coauthVersionMax="47" xr10:uidLastSave="{00000000-0000-0000-0000-000000000000}"/>
  <bookViews>
    <workbookView xWindow="10718" yWindow="0" windowWidth="10965" windowHeight="13583" xr2:uid="{6D1DBF72-16E7-4529-B0C3-91F8E7E5F8D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F11" i="1"/>
  <c r="G11" i="1"/>
  <c r="J11" i="1" s="1"/>
  <c r="J14" i="1"/>
  <c r="J13" i="1"/>
  <c r="J12" i="1"/>
  <c r="G32" i="1"/>
  <c r="G25" i="1"/>
  <c r="G18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E33" i="1"/>
  <c r="E34" i="1"/>
  <c r="E35" i="1"/>
  <c r="E36" i="1"/>
  <c r="E37" i="1"/>
  <c r="E38" i="1"/>
  <c r="E32" i="1"/>
  <c r="E26" i="1"/>
  <c r="E27" i="1"/>
  <c r="E28" i="1"/>
  <c r="E29" i="1"/>
  <c r="E30" i="1"/>
  <c r="E31" i="1"/>
  <c r="E25" i="1"/>
  <c r="E18" i="1"/>
  <c r="E19" i="1"/>
  <c r="E20" i="1"/>
  <c r="E21" i="1"/>
  <c r="E22" i="1"/>
  <c r="E23" i="1"/>
  <c r="E24" i="1"/>
  <c r="E12" i="1"/>
  <c r="E13" i="1"/>
  <c r="E14" i="1"/>
  <c r="E15" i="1"/>
  <c r="E16" i="1"/>
  <c r="E17" i="1"/>
  <c r="E7" i="1"/>
  <c r="E4" i="1" s="1"/>
  <c r="G7" i="1"/>
  <c r="G4" i="1" s="1"/>
  <c r="I7" i="1"/>
  <c r="I4" i="1" s="1"/>
  <c r="C7" i="1"/>
  <c r="C4" i="1" s="1"/>
  <c r="C8" i="1"/>
</calcChain>
</file>

<file path=xl/sharedStrings.xml><?xml version="1.0" encoding="utf-8"?>
<sst xmlns="http://schemas.openxmlformats.org/spreadsheetml/2006/main" count="31" uniqueCount="22">
  <si>
    <t>aluminium</t>
  </si>
  <si>
    <t>stal</t>
  </si>
  <si>
    <t>miedź</t>
  </si>
  <si>
    <t>mosiądz</t>
  </si>
  <si>
    <t>materiał</t>
  </si>
  <si>
    <t>próbka 1</t>
  </si>
  <si>
    <t>próbka 2</t>
  </si>
  <si>
    <t>próbka 3</t>
  </si>
  <si>
    <t>l[cm]</t>
  </si>
  <si>
    <t>m[g]</t>
  </si>
  <si>
    <t>V[cm^3]</t>
  </si>
  <si>
    <t>p[g/cm^3]</t>
  </si>
  <si>
    <t>d[cm]</t>
  </si>
  <si>
    <t>nr. Harmonicznej</t>
  </si>
  <si>
    <t>częstotliwość[Hz]</t>
  </si>
  <si>
    <t>próbka 4</t>
  </si>
  <si>
    <t>długość fali[m]</t>
  </si>
  <si>
    <t>prędkość fali[m/s]</t>
  </si>
  <si>
    <t>v(śr)[m/s]</t>
  </si>
  <si>
    <t>Materiał</t>
  </si>
  <si>
    <t>E wyznaczone[Gpa]</t>
  </si>
  <si>
    <t>E tablicowe[Gpa]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</si>
</sst>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FB18-B55C-4485-99B2-2A512875F7BF}">
  <dimension ref="B1:K38"/>
  <sheetViews>
    <sheetView tabSelected="1" topLeftCell="D1" zoomScale="99" workbookViewId="0">
      <selection activeCell="H5" sqref="H5"/>
    </sheetView>
  </sheetViews>
  <sheetFormatPr defaultRowHeight="14.25" x14ac:dyDescent="0.45"/>
  <cols>
    <col min="2" max="2" width="9.1328125" bestFit="1" customWidth="1"/>
    <col min="3" max="3" width="14.19921875" bestFit="1" customWidth="1"/>
    <col min="4" max="4" width="14.6640625" bestFit="1" customWidth="1"/>
    <col min="5" max="5" width="12.19921875" bestFit="1" customWidth="1"/>
    <col min="6" max="6" width="14.796875" bestFit="1" customWidth="1"/>
    <col min="10" max="10" width="16" bestFit="1" customWidth="1"/>
    <col min="11" max="11" width="14.1328125" bestFit="1" customWidth="1"/>
  </cols>
  <sheetData>
    <row r="1" spans="2:11" ht="14.65" thickBot="1" x14ac:dyDescent="0.5"/>
    <row r="2" spans="2:11" ht="14.65" thickBot="1" x14ac:dyDescent="0.5">
      <c r="C2" s="7" t="s">
        <v>5</v>
      </c>
      <c r="D2" s="8"/>
      <c r="E2" s="7" t="s">
        <v>6</v>
      </c>
      <c r="F2" s="8"/>
      <c r="G2" s="7" t="s">
        <v>7</v>
      </c>
      <c r="H2" s="8"/>
      <c r="I2" s="7" t="s">
        <v>15</v>
      </c>
      <c r="J2" s="8"/>
    </row>
    <row r="3" spans="2:11" x14ac:dyDescent="0.45">
      <c r="B3" t="s">
        <v>4</v>
      </c>
      <c r="C3" s="1" t="s">
        <v>0</v>
      </c>
      <c r="D3" s="2"/>
      <c r="E3" s="3" t="s">
        <v>3</v>
      </c>
      <c r="F3" s="4"/>
      <c r="G3" s="3" t="s">
        <v>2</v>
      </c>
      <c r="H3" s="4"/>
      <c r="I3" s="3" t="s">
        <v>1</v>
      </c>
      <c r="J3" s="4"/>
    </row>
    <row r="4" spans="2:11" x14ac:dyDescent="0.45">
      <c r="B4" t="s">
        <v>9</v>
      </c>
      <c r="C4" s="3">
        <f>C7*C8</f>
        <v>1091.1807866358611</v>
      </c>
      <c r="D4" s="4"/>
      <c r="E4" s="3">
        <f>E7*E8</f>
        <v>1922.0678419228921</v>
      </c>
      <c r="F4" s="4"/>
      <c r="G4" s="3">
        <f>G7*G8</f>
        <v>1999.9363753107887</v>
      </c>
      <c r="H4" s="4"/>
      <c r="I4" s="3">
        <f>I7*I8</f>
        <v>1744.5546748722943</v>
      </c>
      <c r="J4" s="4"/>
    </row>
    <row r="5" spans="2:11" x14ac:dyDescent="0.45">
      <c r="B5" t="s">
        <v>12</v>
      </c>
      <c r="C5" s="3">
        <v>1.6</v>
      </c>
      <c r="D5" s="4"/>
      <c r="E5" s="3">
        <v>1.2</v>
      </c>
      <c r="F5" s="4"/>
      <c r="G5" s="3">
        <v>1.2</v>
      </c>
      <c r="H5" s="4"/>
      <c r="I5" s="3">
        <v>1.2</v>
      </c>
      <c r="J5" s="4"/>
    </row>
    <row r="6" spans="2:11" x14ac:dyDescent="0.45">
      <c r="B6" t="s">
        <v>8</v>
      </c>
      <c r="C6" s="3">
        <v>196.8</v>
      </c>
      <c r="D6" s="4"/>
      <c r="E6" s="3">
        <v>198.7</v>
      </c>
      <c r="F6" s="4"/>
      <c r="G6" s="3">
        <v>197.8</v>
      </c>
      <c r="H6" s="4"/>
      <c r="I6" s="3">
        <v>196.5</v>
      </c>
      <c r="J6" s="4"/>
    </row>
    <row r="7" spans="2:11" x14ac:dyDescent="0.45">
      <c r="B7" t="s">
        <v>10</v>
      </c>
      <c r="C7" s="3">
        <f>PI()*C6*(C5/2)^2</f>
        <v>395.68987790494174</v>
      </c>
      <c r="D7" s="4"/>
      <c r="E7" s="3">
        <f>PI()*E6*(E5/2)^2</f>
        <v>224.72440569658505</v>
      </c>
      <c r="F7" s="4"/>
      <c r="G7" s="3">
        <f>PI()*G6*(G5/2)^2</f>
        <v>223.70652967682202</v>
      </c>
      <c r="H7" s="4"/>
      <c r="I7" s="3">
        <f>PI()*I6*(I5/2)^2</f>
        <v>222.23626431494196</v>
      </c>
      <c r="J7" s="4"/>
    </row>
    <row r="8" spans="2:11" ht="14.65" thickBot="1" x14ac:dyDescent="0.5">
      <c r="B8" t="s">
        <v>11</v>
      </c>
      <c r="C8" s="5">
        <f>(2.77+2.7+2.803)/3</f>
        <v>2.7576666666666667</v>
      </c>
      <c r="D8" s="6"/>
      <c r="E8" s="5">
        <v>8.5530000000000008</v>
      </c>
      <c r="F8" s="6"/>
      <c r="G8" s="5">
        <v>8.94</v>
      </c>
      <c r="H8" s="6"/>
      <c r="I8" s="5">
        <v>7.85</v>
      </c>
      <c r="J8" s="6"/>
    </row>
    <row r="10" spans="2:11" ht="14.65" thickBot="1" x14ac:dyDescent="0.5">
      <c r="B10" t="s">
        <v>4</v>
      </c>
      <c r="C10" t="s">
        <v>13</v>
      </c>
      <c r="D10" t="s">
        <v>14</v>
      </c>
      <c r="E10" t="s">
        <v>16</v>
      </c>
      <c r="F10" t="s">
        <v>17</v>
      </c>
      <c r="G10" t="s">
        <v>18</v>
      </c>
      <c r="I10" t="s">
        <v>19</v>
      </c>
      <c r="J10" t="s">
        <v>20</v>
      </c>
      <c r="K10" t="s">
        <v>21</v>
      </c>
    </row>
    <row r="11" spans="2:11" x14ac:dyDescent="0.45">
      <c r="B11" s="1" t="s">
        <v>0</v>
      </c>
      <c r="C11" s="9">
        <v>1</v>
      </c>
      <c r="D11" s="9">
        <v>1317.65</v>
      </c>
      <c r="E11" s="9">
        <f>2*$C$6/C11</f>
        <v>393.6</v>
      </c>
      <c r="F11" s="2">
        <f>E11*D11</f>
        <v>518627.04000000004</v>
      </c>
      <c r="G11">
        <f>SUM(F11:F17)/7</f>
        <v>519553.79395918373</v>
      </c>
      <c r="I11" t="s">
        <v>0</v>
      </c>
      <c r="J11">
        <f>(C8*G11^2)/1000000000</f>
        <v>744.39390869140027</v>
      </c>
      <c r="K11">
        <v>70</v>
      </c>
    </row>
    <row r="12" spans="2:11" x14ac:dyDescent="0.45">
      <c r="B12" s="3"/>
      <c r="C12" s="10">
        <v>2</v>
      </c>
      <c r="D12" s="10">
        <v>2647.06</v>
      </c>
      <c r="E12" s="10">
        <f t="shared" ref="E12:E17" si="0">2*$C$6/C12</f>
        <v>196.8</v>
      </c>
      <c r="F12" s="4">
        <f t="shared" ref="F12:F38" si="1">E12*D12</f>
        <v>520941.408</v>
      </c>
      <c r="I12" t="s">
        <v>3</v>
      </c>
      <c r="J12">
        <f>(E8*G18^2)/1000000000</f>
        <v>1082.9732803741811</v>
      </c>
      <c r="K12">
        <v>112.5</v>
      </c>
    </row>
    <row r="13" spans="2:11" x14ac:dyDescent="0.45">
      <c r="B13" s="3"/>
      <c r="C13" s="10">
        <v>3</v>
      </c>
      <c r="D13" s="10">
        <v>3964.71</v>
      </c>
      <c r="E13" s="10">
        <f t="shared" si="0"/>
        <v>131.20000000000002</v>
      </c>
      <c r="F13" s="4">
        <f t="shared" si="1"/>
        <v>520169.95200000005</v>
      </c>
      <c r="I13" t="s">
        <v>2</v>
      </c>
      <c r="J13">
        <f>(G8*G25^2)/1000000000</f>
        <v>1901.1237260060864</v>
      </c>
      <c r="K13">
        <v>117</v>
      </c>
    </row>
    <row r="14" spans="2:11" x14ac:dyDescent="0.45">
      <c r="B14" s="3"/>
      <c r="C14" s="10">
        <v>4</v>
      </c>
      <c r="D14" s="10">
        <v>5258.82</v>
      </c>
      <c r="E14" s="10">
        <f t="shared" si="0"/>
        <v>98.4</v>
      </c>
      <c r="F14" s="4">
        <f t="shared" si="1"/>
        <v>517467.88799999998</v>
      </c>
      <c r="I14" t="s">
        <v>1</v>
      </c>
      <c r="J14">
        <f>(I8*G32^2)/1000000000</f>
        <v>1928.023240947967</v>
      </c>
      <c r="K14">
        <v>180</v>
      </c>
    </row>
    <row r="15" spans="2:11" x14ac:dyDescent="0.45">
      <c r="B15" s="3"/>
      <c r="C15" s="10">
        <v>5</v>
      </c>
      <c r="D15" s="10">
        <v>6600</v>
      </c>
      <c r="E15" s="10">
        <f t="shared" si="0"/>
        <v>78.72</v>
      </c>
      <c r="F15" s="4">
        <f t="shared" si="1"/>
        <v>519552</v>
      </c>
    </row>
    <row r="16" spans="2:11" x14ac:dyDescent="0.45">
      <c r="B16" s="3"/>
      <c r="C16" s="10">
        <v>6</v>
      </c>
      <c r="D16" s="10">
        <v>7929.41</v>
      </c>
      <c r="E16" s="10">
        <f t="shared" si="0"/>
        <v>65.600000000000009</v>
      </c>
      <c r="F16" s="4">
        <f t="shared" si="1"/>
        <v>520169.29600000003</v>
      </c>
    </row>
    <row r="17" spans="2:7" ht="14.65" thickBot="1" x14ac:dyDescent="0.5">
      <c r="B17" s="5"/>
      <c r="C17" s="11">
        <v>7</v>
      </c>
      <c r="D17" s="11">
        <v>9247.06</v>
      </c>
      <c r="E17" s="11">
        <f t="shared" si="0"/>
        <v>56.228571428571435</v>
      </c>
      <c r="F17" s="6">
        <f t="shared" si="1"/>
        <v>519948.97371428576</v>
      </c>
    </row>
    <row r="18" spans="2:7" x14ac:dyDescent="0.45">
      <c r="B18" s="1" t="s">
        <v>3</v>
      </c>
      <c r="C18" s="9">
        <v>1</v>
      </c>
      <c r="D18" s="9">
        <v>882.35</v>
      </c>
      <c r="E18" s="9">
        <f>2*$E$6/C18</f>
        <v>397.4</v>
      </c>
      <c r="F18" s="2">
        <f t="shared" si="1"/>
        <v>350645.89</v>
      </c>
      <c r="G18">
        <f>SUM(F18:F24)/7</f>
        <v>355835.79612653062</v>
      </c>
    </row>
    <row r="19" spans="2:7" x14ac:dyDescent="0.45">
      <c r="B19" s="3"/>
      <c r="C19" s="10">
        <v>2</v>
      </c>
      <c r="D19" s="10">
        <v>1811.76</v>
      </c>
      <c r="E19" s="10">
        <f t="shared" ref="E19:E24" si="2">2*$E$6/C19</f>
        <v>198.7</v>
      </c>
      <c r="F19" s="4">
        <f t="shared" si="1"/>
        <v>359996.712</v>
      </c>
    </row>
    <row r="20" spans="2:7" x14ac:dyDescent="0.45">
      <c r="B20" s="3"/>
      <c r="C20" s="10">
        <v>3</v>
      </c>
      <c r="D20" s="10">
        <v>2670.59</v>
      </c>
      <c r="E20" s="10">
        <f t="shared" si="2"/>
        <v>132.46666666666667</v>
      </c>
      <c r="F20" s="4">
        <f t="shared" si="1"/>
        <v>353764.15533333336</v>
      </c>
    </row>
    <row r="21" spans="2:7" x14ac:dyDescent="0.45">
      <c r="B21" s="3"/>
      <c r="C21" s="10">
        <v>4</v>
      </c>
      <c r="D21" s="10">
        <v>3588.24</v>
      </c>
      <c r="E21" s="10">
        <f t="shared" si="2"/>
        <v>99.35</v>
      </c>
      <c r="F21" s="4">
        <f t="shared" si="1"/>
        <v>356491.64399999997</v>
      </c>
    </row>
    <row r="22" spans="2:7" x14ac:dyDescent="0.45">
      <c r="B22" s="3"/>
      <c r="C22" s="10">
        <v>5</v>
      </c>
      <c r="D22" s="10">
        <v>4494.12</v>
      </c>
      <c r="E22" s="10">
        <f t="shared" si="2"/>
        <v>79.47999999999999</v>
      </c>
      <c r="F22" s="4">
        <f t="shared" si="1"/>
        <v>357192.65759999992</v>
      </c>
    </row>
    <row r="23" spans="2:7" x14ac:dyDescent="0.45">
      <c r="B23" s="3"/>
      <c r="C23" s="10">
        <v>6</v>
      </c>
      <c r="D23" s="10">
        <v>5376.47</v>
      </c>
      <c r="E23" s="10">
        <f t="shared" si="2"/>
        <v>66.233333333333334</v>
      </c>
      <c r="F23" s="4">
        <f t="shared" si="1"/>
        <v>356101.5296666667</v>
      </c>
    </row>
    <row r="24" spans="2:7" ht="14.65" thickBot="1" x14ac:dyDescent="0.5">
      <c r="B24" s="5"/>
      <c r="C24" s="11">
        <v>7</v>
      </c>
      <c r="D24" s="11">
        <v>6282.35</v>
      </c>
      <c r="E24" s="11">
        <f t="shared" si="2"/>
        <v>56.771428571428565</v>
      </c>
      <c r="F24" s="6">
        <f t="shared" si="1"/>
        <v>356657.98428571428</v>
      </c>
    </row>
    <row r="25" spans="2:7" x14ac:dyDescent="0.45">
      <c r="B25" s="1" t="s">
        <v>2</v>
      </c>
      <c r="C25" s="9">
        <v>1</v>
      </c>
      <c r="D25" s="9">
        <v>976.47</v>
      </c>
      <c r="E25" s="9">
        <f>2*$G$6/C25</f>
        <v>395.6</v>
      </c>
      <c r="F25" s="2">
        <f t="shared" si="1"/>
        <v>386291.53200000001</v>
      </c>
      <c r="G25">
        <f>SUM(F25:F31)/7</f>
        <v>461143.86109659862</v>
      </c>
    </row>
    <row r="26" spans="2:7" x14ac:dyDescent="0.45">
      <c r="B26" s="3"/>
      <c r="C26" s="10">
        <v>2</v>
      </c>
      <c r="D26" s="10">
        <v>2894.12</v>
      </c>
      <c r="E26" s="10">
        <f>2*$G$6/C26</f>
        <v>197.8</v>
      </c>
      <c r="F26" s="4">
        <f t="shared" si="1"/>
        <v>572456.93599999999</v>
      </c>
    </row>
    <row r="27" spans="2:7" x14ac:dyDescent="0.45">
      <c r="B27" s="3"/>
      <c r="C27" s="10">
        <v>3</v>
      </c>
      <c r="D27" s="10">
        <v>3858.82</v>
      </c>
      <c r="E27" s="10">
        <f>2*$G$6/C27</f>
        <v>131.86666666666667</v>
      </c>
      <c r="F27" s="4">
        <f t="shared" si="1"/>
        <v>508849.7306666667</v>
      </c>
    </row>
    <row r="28" spans="2:7" x14ac:dyDescent="0.45">
      <c r="B28" s="3"/>
      <c r="C28" s="10">
        <v>4</v>
      </c>
      <c r="D28" s="10">
        <v>4800</v>
      </c>
      <c r="E28" s="10">
        <f>2*$G$6/C28</f>
        <v>98.9</v>
      </c>
      <c r="F28" s="4">
        <f t="shared" si="1"/>
        <v>474720</v>
      </c>
    </row>
    <row r="29" spans="2:7" x14ac:dyDescent="0.45">
      <c r="B29" s="3"/>
      <c r="C29" s="10">
        <v>5</v>
      </c>
      <c r="D29" s="10">
        <v>5129.41</v>
      </c>
      <c r="E29" s="10">
        <f>2*$G$6/C29</f>
        <v>79.12</v>
      </c>
      <c r="F29" s="4">
        <f t="shared" si="1"/>
        <v>405838.9192</v>
      </c>
    </row>
    <row r="30" spans="2:7" x14ac:dyDescent="0.45">
      <c r="B30" s="3"/>
      <c r="C30" s="10">
        <v>6</v>
      </c>
      <c r="D30" s="10">
        <v>6729.41</v>
      </c>
      <c r="E30" s="10">
        <f>2*$G$6/C30</f>
        <v>65.933333333333337</v>
      </c>
      <c r="F30" s="4">
        <f t="shared" si="1"/>
        <v>443692.43266666669</v>
      </c>
    </row>
    <row r="31" spans="2:7" ht="14.65" thickBot="1" x14ac:dyDescent="0.5">
      <c r="B31" s="5"/>
      <c r="C31" s="11">
        <v>7</v>
      </c>
      <c r="D31" s="11">
        <v>7717.65</v>
      </c>
      <c r="E31" s="11">
        <f>2*$G$6/C31</f>
        <v>56.51428571428572</v>
      </c>
      <c r="F31" s="6">
        <f t="shared" si="1"/>
        <v>436157.47714285715</v>
      </c>
    </row>
    <row r="32" spans="2:7" x14ac:dyDescent="0.45">
      <c r="B32" s="1" t="s">
        <v>1</v>
      </c>
      <c r="C32" s="9">
        <v>1</v>
      </c>
      <c r="D32" s="9">
        <v>1258.82</v>
      </c>
      <c r="E32" s="9">
        <f>2*$I$6/C32</f>
        <v>393</v>
      </c>
      <c r="F32" s="2">
        <f t="shared" si="1"/>
        <v>494716.25999999995</v>
      </c>
      <c r="G32">
        <f>SUM(F32:F38)/7</f>
        <v>495588.59568367345</v>
      </c>
    </row>
    <row r="33" spans="2:8" x14ac:dyDescent="0.45">
      <c r="B33" s="3"/>
      <c r="C33" s="10">
        <v>2</v>
      </c>
      <c r="D33" s="10">
        <v>2529.41</v>
      </c>
      <c r="E33" s="10">
        <f t="shared" ref="E33:E38" si="3">2*$I$6/C33</f>
        <v>196.5</v>
      </c>
      <c r="F33" s="4">
        <f t="shared" si="1"/>
        <v>497029.06499999994</v>
      </c>
    </row>
    <row r="34" spans="2:8" x14ac:dyDescent="0.45">
      <c r="B34" s="3"/>
      <c r="C34" s="10">
        <v>3</v>
      </c>
      <c r="D34" s="10">
        <v>3788.24</v>
      </c>
      <c r="E34" s="10">
        <f t="shared" si="3"/>
        <v>131</v>
      </c>
      <c r="F34" s="4">
        <f t="shared" si="1"/>
        <v>496259.43999999994</v>
      </c>
    </row>
    <row r="35" spans="2:8" x14ac:dyDescent="0.45">
      <c r="B35" s="3"/>
      <c r="C35" s="10">
        <v>4</v>
      </c>
      <c r="D35" s="10">
        <v>5035.29</v>
      </c>
      <c r="E35" s="10">
        <f t="shared" si="3"/>
        <v>98.25</v>
      </c>
      <c r="F35" s="4">
        <f t="shared" si="1"/>
        <v>494717.24249999999</v>
      </c>
    </row>
    <row r="36" spans="2:8" x14ac:dyDescent="0.45">
      <c r="B36" s="3"/>
      <c r="C36" s="10">
        <v>5</v>
      </c>
      <c r="D36" s="10">
        <v>6305.88</v>
      </c>
      <c r="E36" s="10">
        <f t="shared" si="3"/>
        <v>78.599999999999994</v>
      </c>
      <c r="F36" s="4">
        <f t="shared" si="1"/>
        <v>495642.16799999995</v>
      </c>
    </row>
    <row r="37" spans="2:8" ht="14.65" thickBot="1" x14ac:dyDescent="0.5">
      <c r="B37" s="3"/>
      <c r="C37" s="10">
        <v>6</v>
      </c>
      <c r="D37" s="10">
        <v>7552.94</v>
      </c>
      <c r="E37" s="10">
        <f t="shared" si="3"/>
        <v>65.5</v>
      </c>
      <c r="F37" s="4">
        <f t="shared" si="1"/>
        <v>494717.56999999995</v>
      </c>
    </row>
    <row r="38" spans="2:8" ht="14.65" thickBot="1" x14ac:dyDescent="0.5">
      <c r="B38" s="5"/>
      <c r="C38" s="11">
        <v>7</v>
      </c>
      <c r="D38" s="11">
        <v>8835.2900000000009</v>
      </c>
      <c r="E38" s="11">
        <f t="shared" si="3"/>
        <v>56.142857142857146</v>
      </c>
      <c r="F38" s="6">
        <f t="shared" si="1"/>
        <v>496038.42428571434</v>
      </c>
      <c r="H3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2025-03-28T16:59:30Z</dcterms:created>
  <dcterms:modified xsi:type="dcterms:W3CDTF">2025-03-28T20:03:23Z</dcterms:modified>
</cp:coreProperties>
</file>