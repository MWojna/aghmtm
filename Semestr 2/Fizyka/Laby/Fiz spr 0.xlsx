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704696FA-7322-4059-9415-C1B753FBEE6E}" xr6:coauthVersionLast="47" xr6:coauthVersionMax="47" xr10:uidLastSave="{00000000-0000-0000-0000-000000000000}"/>
  <bookViews>
    <workbookView xWindow="10718" yWindow="0" windowWidth="10965" windowHeight="13583" xr2:uid="{97E9B654-918B-4DA9-BBE6-7C44CA2BCEC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3" i="1" a="1"/>
  <c r="C13" i="1" s="1"/>
  <c r="F4" i="1"/>
  <c r="F5" i="1"/>
  <c r="F6" i="1"/>
  <c r="F7" i="1"/>
  <c r="F8" i="1"/>
  <c r="F9" i="1"/>
  <c r="F10" i="1"/>
  <c r="F3" i="1"/>
  <c r="D4" i="1"/>
  <c r="D5" i="1"/>
  <c r="D6" i="1"/>
  <c r="D7" i="1"/>
  <c r="D8" i="1"/>
  <c r="D9" i="1"/>
  <c r="D10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<sst xmlns="http://schemas.openxmlformats.org/spreadsheetml/2006/main" count="4" uniqueCount="4">
  <si>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</t>
  </si>
  <si>
    <t>t</t>
  </si>
  <si>
    <t>t^2/l</t>
  </si>
  <si>
    <t>t^2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</si>
</sst>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Arkusz1!$D$3:$D$12</c:f>
              <c:numCache>
                <c:formatCode>General</c:formatCode>
                <c:ptCount val="10"/>
                <c:pt idx="0">
                  <c:v>0.82083600000000001</c:v>
                </c:pt>
                <c:pt idx="1">
                  <c:v>1.0160640000000001</c:v>
                </c:pt>
                <c:pt idx="2">
                  <c:v>1.1881000000000002</c:v>
                </c:pt>
                <c:pt idx="3">
                  <c:v>1.3432810000000002</c:v>
                </c:pt>
                <c:pt idx="4">
                  <c:v>1.5276959999999999</c:v>
                </c:pt>
                <c:pt idx="5">
                  <c:v>1.6822089999999998</c:v>
                </c:pt>
                <c:pt idx="6">
                  <c:v>1.846881</c:v>
                </c:pt>
                <c:pt idx="7">
                  <c:v>2.0050559999999997</c:v>
                </c:pt>
                <c:pt idx="8">
                  <c:v>0</c:v>
                </c:pt>
              </c:numCache>
            </c:numRef>
          </c:xVal>
          <c:yVal>
            <c:numRef>
              <c:f>Arkusz1!$E$3:$E$12</c:f>
              <c:numCache>
                <c:formatCode>General</c:formatCode>
                <c:ptCount val="10"/>
                <c:pt idx="0">
                  <c:v>0.2</c:v>
                </c:pt>
                <c:pt idx="1">
                  <c:v>0.245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0.37</c:v>
                </c:pt>
                <c:pt idx="5">
                  <c:v>0.41</c:v>
                </c:pt>
                <c:pt idx="6">
                  <c:v>0.45</c:v>
                </c:pt>
                <c:pt idx="7">
                  <c:v>0.49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A-4CBA-9318-5A87712C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463967"/>
        <c:axId val="760463487"/>
      </c:scatterChart>
      <c:valAx>
        <c:axId val="76046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T^2[s^2]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0463487"/>
        <c:crosses val="autoZero"/>
        <c:crossBetween val="midCat"/>
      </c:valAx>
      <c:valAx>
        <c:axId val="76046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046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16668</xdr:colOff>
      <xdr:row>1</xdr:row>
      <xdr:rowOff>38100</xdr:rowOff>
    </xdr:from>
    <xdr:to>
      <xdr:col>14</xdr:col>
      <xdr:colOff>54768</xdr:colOff>
      <xdr:row>16</xdr:row>
      <xdr:rowOff>66675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7BC7587-4A74-1D49-F41F-6A757E859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C76-7393-4D48-945B-3B74EAC1C99D}">
  <dimension ref="C2:F15"/>
  <sheetViews>
    <sheetView tabSelected="1" zoomScale="85" zoomScaleNormal="85" workbookViewId="0">
      <selection activeCell="C15" sqref="C15"/>
    </sheetView>
  </sheetViews>
  <sheetFormatPr defaultRowHeight="14.25" x14ac:dyDescent="0.45"/>
  <sheetData>
    <row r="2" spans="3:6" x14ac:dyDescent="0.45">
      <c r="C2" t="s">
        <v>1</v>
      </c>
      <c r="D2" t="s">
        <v>3</v>
      </c>
      <c r="E2" t="s">
        <v>0</v>
      </c>
      <c r="F2" t="s">
        <v>2</v>
      </c>
    </row>
    <row r="3" spans="3:6" x14ac:dyDescent="0.45">
      <c r="C3">
        <v>0.90600000000000003</v>
      </c>
      <c r="D3">
        <f>C3^2</f>
        <v>0.82083600000000001</v>
      </c>
      <c r="E3">
        <v>0.2</v>
      </c>
      <c r="F3">
        <f>D3/E3</f>
        <v>4.1041799999999995</v>
      </c>
    </row>
    <row r="4" spans="3:6" x14ac:dyDescent="0.45">
      <c r="C4">
        <v>1.008</v>
      </c>
      <c r="D4">
        <f t="shared" ref="D4:D10" si="0">C4^2</f>
        <v>1.0160640000000001</v>
      </c>
      <c r="E4">
        <v>0.245</v>
      </c>
      <c r="F4">
        <f t="shared" ref="F4:F10" si="1">D4/E4</f>
        <v>4.1472000000000007</v>
      </c>
    </row>
    <row r="5" spans="3:6" x14ac:dyDescent="0.45">
      <c r="C5">
        <v>1.0900000000000001</v>
      </c>
      <c r="D5">
        <f t="shared" si="0"/>
        <v>1.1881000000000002</v>
      </c>
      <c r="E5">
        <v>0.28999999999999998</v>
      </c>
      <c r="F5">
        <f t="shared" si="1"/>
        <v>4.0968965517241385</v>
      </c>
    </row>
    <row r="6" spans="3:6" x14ac:dyDescent="0.45">
      <c r="C6">
        <v>1.159</v>
      </c>
      <c r="D6">
        <f t="shared" si="0"/>
        <v>1.3432810000000002</v>
      </c>
      <c r="E6">
        <v>0.33</v>
      </c>
      <c r="F6">
        <f t="shared" si="1"/>
        <v>4.0705484848484854</v>
      </c>
    </row>
    <row r="7" spans="3:6" x14ac:dyDescent="0.45">
      <c r="C7">
        <v>1.236</v>
      </c>
      <c r="D7">
        <f t="shared" si="0"/>
        <v>1.5276959999999999</v>
      </c>
      <c r="E7">
        <v>0.37</v>
      </c>
      <c r="F7">
        <f t="shared" si="1"/>
        <v>4.1289081081081083</v>
      </c>
    </row>
    <row r="8" spans="3:6" x14ac:dyDescent="0.45">
      <c r="C8">
        <v>1.2969999999999999</v>
      </c>
      <c r="D8">
        <f t="shared" si="0"/>
        <v>1.6822089999999998</v>
      </c>
      <c r="E8">
        <v>0.41</v>
      </c>
      <c r="F8">
        <f t="shared" si="1"/>
        <v>4.1029487804878046</v>
      </c>
    </row>
    <row r="9" spans="3:6" x14ac:dyDescent="0.45">
      <c r="C9">
        <v>1.359</v>
      </c>
      <c r="D9">
        <f t="shared" si="0"/>
        <v>1.846881</v>
      </c>
      <c r="E9">
        <v>0.45</v>
      </c>
      <c r="F9">
        <f t="shared" si="1"/>
        <v>4.1041799999999995</v>
      </c>
    </row>
    <row r="10" spans="3:6" x14ac:dyDescent="0.45">
      <c r="C10">
        <v>1.4159999999999999</v>
      </c>
      <c r="D10">
        <f t="shared" si="0"/>
        <v>2.0050559999999997</v>
      </c>
      <c r="E10">
        <v>0.49</v>
      </c>
      <c r="F10">
        <f t="shared" si="1"/>
        <v>4.0919510204081631</v>
      </c>
    </row>
    <row r="11" spans="3:6" x14ac:dyDescent="0.45">
      <c r="C11">
        <v>0</v>
      </c>
      <c r="D11">
        <v>0</v>
      </c>
      <c r="E11">
        <v>0</v>
      </c>
      <c r="F11">
        <v>0</v>
      </c>
    </row>
    <row r="13" spans="3:6" x14ac:dyDescent="0.45">
      <c r="C13" cm="1">
        <f t="array" ref="C13:D13">LINEST(E3:E10,D3:D10)</f>
        <v>0.24479801550645558</v>
      </c>
      <c r="D13">
        <v>-1.6339284243367946E-3</v>
      </c>
    </row>
    <row r="15" spans="3:6" x14ac:dyDescent="0.45">
      <c r="C15">
        <f>SUM(F3:F10)/8</f>
        <v>4.1058516181970877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2025-03-14T10:30:04Z</dcterms:created>
  <dcterms:modified xsi:type="dcterms:W3CDTF">2025-03-27T21:14:11Z</dcterms:modified>
</cp:coreProperties>
</file>